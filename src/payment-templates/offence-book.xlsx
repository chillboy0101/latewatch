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skal\Downloads\"/>
    </mc:Choice>
  </mc:AlternateContent>
  <xr:revisionPtr revIDLastSave="0" documentId="13_ncr:1_{6ED1B628-3637-432D-8684-E93D1EEA550F}" xr6:coauthVersionLast="47" xr6:coauthVersionMax="47" xr10:uidLastSave="{00000000-0000-0000-0000-000000000000}"/>
  <bookViews>
    <workbookView xWindow="-120" yWindow="-120" windowWidth="20730" windowHeight="11760" xr2:uid="{920F586B-4AC2-4CDE-9F43-8E5BCF1487D8}"/>
  </bookViews>
  <sheets>
    <sheet name="MAY 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4" i="1" l="1"/>
  <c r="J33" i="1"/>
  <c r="J34" i="1"/>
  <c r="N34" i="1" s="1"/>
  <c r="M107" i="1"/>
  <c r="P18" i="1" s="1"/>
  <c r="I107" i="1"/>
  <c r="H107" i="1"/>
  <c r="G107" i="1"/>
  <c r="F107" i="1"/>
  <c r="E107" i="1"/>
  <c r="D107" i="1"/>
  <c r="J105" i="1"/>
  <c r="N105" i="1" s="1"/>
  <c r="J104" i="1"/>
  <c r="N104" i="1" s="1"/>
  <c r="J103" i="1"/>
  <c r="N103" i="1" s="1"/>
  <c r="J102" i="1"/>
  <c r="N102" i="1" s="1"/>
  <c r="J101" i="1"/>
  <c r="N101" i="1" s="1"/>
  <c r="J100" i="1"/>
  <c r="N100" i="1" s="1"/>
  <c r="N99" i="1"/>
  <c r="J99" i="1"/>
  <c r="N98" i="1"/>
  <c r="J98" i="1"/>
  <c r="N97" i="1"/>
  <c r="J97" i="1"/>
  <c r="J96" i="1"/>
  <c r="N96" i="1" s="1"/>
  <c r="N95" i="1"/>
  <c r="J95" i="1"/>
  <c r="N94" i="1"/>
  <c r="N93" i="1"/>
  <c r="J93" i="1"/>
  <c r="J92" i="1"/>
  <c r="N92" i="1" s="1"/>
  <c r="J91" i="1"/>
  <c r="N91" i="1" s="1"/>
  <c r="N90" i="1"/>
  <c r="M86" i="1"/>
  <c r="I86" i="1"/>
  <c r="H86" i="1"/>
  <c r="G86" i="1"/>
  <c r="F86" i="1"/>
  <c r="E86" i="1"/>
  <c r="D86" i="1"/>
  <c r="J86" i="1" s="1"/>
  <c r="N84" i="1"/>
  <c r="J84" i="1"/>
  <c r="J83" i="1"/>
  <c r="N83" i="1" s="1"/>
  <c r="N82" i="1"/>
  <c r="J81" i="1"/>
  <c r="N81" i="1" s="1"/>
  <c r="J80" i="1"/>
  <c r="N80" i="1" s="1"/>
  <c r="J79" i="1"/>
  <c r="N79" i="1" s="1"/>
  <c r="J78" i="1"/>
  <c r="N78" i="1" s="1"/>
  <c r="J77" i="1"/>
  <c r="N77" i="1" s="1"/>
  <c r="J76" i="1"/>
  <c r="N76" i="1" s="1"/>
  <c r="J75" i="1"/>
  <c r="N75" i="1" s="1"/>
  <c r="J74" i="1"/>
  <c r="N74" i="1" s="1"/>
  <c r="N73" i="1"/>
  <c r="N72" i="1"/>
  <c r="J72" i="1"/>
  <c r="J71" i="1"/>
  <c r="N71" i="1" s="1"/>
  <c r="J70" i="1"/>
  <c r="N70" i="1" s="1"/>
  <c r="N69" i="1"/>
  <c r="M65" i="1"/>
  <c r="I65" i="1"/>
  <c r="H65" i="1"/>
  <c r="G65" i="1"/>
  <c r="F65" i="1"/>
  <c r="E65" i="1"/>
  <c r="D65" i="1"/>
  <c r="J63" i="1"/>
  <c r="N63" i="1" s="1"/>
  <c r="J62" i="1"/>
  <c r="N62" i="1" s="1"/>
  <c r="J61" i="1"/>
  <c r="N61" i="1" s="1"/>
  <c r="J60" i="1"/>
  <c r="N60" i="1" s="1"/>
  <c r="J59" i="1"/>
  <c r="N59" i="1" s="1"/>
  <c r="N58" i="1"/>
  <c r="J58" i="1"/>
  <c r="J57" i="1"/>
  <c r="N57" i="1" s="1"/>
  <c r="J56" i="1"/>
  <c r="N56" i="1" s="1"/>
  <c r="N55" i="1"/>
  <c r="J55" i="1"/>
  <c r="J54" i="1"/>
  <c r="N54" i="1" s="1"/>
  <c r="J53" i="1"/>
  <c r="N53" i="1" s="1"/>
  <c r="N52" i="1"/>
  <c r="J52" i="1"/>
  <c r="J51" i="1"/>
  <c r="N51" i="1" s="1"/>
  <c r="N50" i="1"/>
  <c r="J50" i="1"/>
  <c r="J49" i="1"/>
  <c r="N48" i="1"/>
  <c r="M44" i="1"/>
  <c r="I44" i="1"/>
  <c r="H44" i="1"/>
  <c r="G44" i="1"/>
  <c r="F44" i="1"/>
  <c r="E44" i="1"/>
  <c r="D44" i="1"/>
  <c r="J42" i="1"/>
  <c r="N42" i="1" s="1"/>
  <c r="J41" i="1"/>
  <c r="N41" i="1" s="1"/>
  <c r="J40" i="1"/>
  <c r="N40" i="1" s="1"/>
  <c r="J39" i="1"/>
  <c r="N39" i="1" s="1"/>
  <c r="J38" i="1"/>
  <c r="N38" i="1" s="1"/>
  <c r="J37" i="1"/>
  <c r="N37" i="1" s="1"/>
  <c r="J36" i="1"/>
  <c r="N36" i="1" s="1"/>
  <c r="J35" i="1"/>
  <c r="N35" i="1" s="1"/>
  <c r="N33" i="1"/>
  <c r="J32" i="1"/>
  <c r="N32" i="1" s="1"/>
  <c r="J31" i="1"/>
  <c r="N31" i="1" s="1"/>
  <c r="J30" i="1"/>
  <c r="N30" i="1" s="1"/>
  <c r="J29" i="1"/>
  <c r="N29" i="1" s="1"/>
  <c r="J28" i="1"/>
  <c r="N27" i="1"/>
  <c r="Q26" i="1" s="1"/>
  <c r="M23" i="1"/>
  <c r="I23" i="1"/>
  <c r="H23" i="1"/>
  <c r="G23" i="1"/>
  <c r="F23" i="1"/>
  <c r="E23" i="1"/>
  <c r="D23" i="1"/>
  <c r="J21" i="1"/>
  <c r="N21" i="1" s="1"/>
  <c r="J20" i="1"/>
  <c r="N20" i="1" s="1"/>
  <c r="J19" i="1"/>
  <c r="N19" i="1" s="1"/>
  <c r="J18" i="1"/>
  <c r="N18" i="1" s="1"/>
  <c r="Q38" i="1" s="1"/>
  <c r="J17" i="1"/>
  <c r="N17" i="1" s="1"/>
  <c r="J16" i="1"/>
  <c r="N16" i="1" s="1"/>
  <c r="S15" i="1"/>
  <c r="J15" i="1"/>
  <c r="N15" i="1" s="1"/>
  <c r="J14" i="1"/>
  <c r="N14" i="1" s="1"/>
  <c r="J13" i="1"/>
  <c r="N13" i="1" s="1"/>
  <c r="P12" i="1"/>
  <c r="J12" i="1"/>
  <c r="N12" i="1" s="1"/>
  <c r="J11" i="1"/>
  <c r="N11" i="1" s="1"/>
  <c r="J10" i="1"/>
  <c r="N10" i="1" s="1"/>
  <c r="Q30" i="1" s="1"/>
  <c r="J9" i="1"/>
  <c r="N9" i="1" s="1"/>
  <c r="J8" i="1"/>
  <c r="N8" i="1" s="1"/>
  <c r="N7" i="1"/>
  <c r="J7" i="1"/>
  <c r="P5" i="1"/>
  <c r="Q36" i="1" l="1"/>
  <c r="Q37" i="1"/>
  <c r="Q31" i="1"/>
  <c r="J44" i="1"/>
  <c r="N44" i="1" s="1"/>
  <c r="J107" i="1"/>
  <c r="N107" i="1" s="1"/>
  <c r="J23" i="1"/>
  <c r="T11" i="1"/>
  <c r="Q33" i="1"/>
  <c r="Q41" i="1"/>
  <c r="Q39" i="1"/>
  <c r="Q28" i="1"/>
  <c r="J65" i="1"/>
  <c r="Q32" i="1"/>
  <c r="N23" i="1"/>
  <c r="Q34" i="1"/>
  <c r="Q29" i="1"/>
  <c r="Q35" i="1"/>
  <c r="Q40" i="1"/>
  <c r="N86" i="1"/>
  <c r="T8" i="1"/>
  <c r="N49" i="1"/>
  <c r="N65" i="1" s="1"/>
  <c r="N28" i="1"/>
  <c r="P15" i="1" l="1"/>
  <c r="T5" i="1" s="1"/>
  <c r="Q27" i="1"/>
  <c r="P23" i="1"/>
</calcChain>
</file>

<file path=xl/sharedStrings.xml><?xml version="1.0" encoding="utf-8"?>
<sst xmlns="http://schemas.openxmlformats.org/spreadsheetml/2006/main" count="181" uniqueCount="53">
  <si>
    <t>WEEK 1 WENESDAY 1ST - THURSDAY 2ND APRIL, 2026</t>
  </si>
  <si>
    <t>OPENING BALANCE</t>
  </si>
  <si>
    <t>EXPENDITURE</t>
  </si>
  <si>
    <t>OVERALL TOTAL EXPECTED</t>
  </si>
  <si>
    <t>NAME</t>
  </si>
  <si>
    <t xml:space="preserve"> MONDAY</t>
  </si>
  <si>
    <t xml:space="preserve"> TUESDAY</t>
  </si>
  <si>
    <t xml:space="preserve"> WEDNESDAY</t>
  </si>
  <si>
    <t>THURSDAY</t>
  </si>
  <si>
    <t>FRIDAY</t>
  </si>
  <si>
    <t>PENALTY</t>
  </si>
  <si>
    <t>TOTAL</t>
  </si>
  <si>
    <t>STATUS</t>
  </si>
  <si>
    <t>PAID</t>
  </si>
  <si>
    <t>UNPAID</t>
  </si>
  <si>
    <t>ITEM</t>
  </si>
  <si>
    <t>AMOUNT</t>
  </si>
  <si>
    <t>George Kojo Lutterodt</t>
  </si>
  <si>
    <t>TnT for Lisabeth</t>
  </si>
  <si>
    <t>Charles Dogbatse</t>
  </si>
  <si>
    <t>EXTERNAL MONEY</t>
  </si>
  <si>
    <t>SOURCE</t>
  </si>
  <si>
    <t>TnT to Head Office</t>
  </si>
  <si>
    <t>OVERALL TOTAL RECEIVED</t>
  </si>
  <si>
    <t>Eyram Mensah-Gbagbo</t>
  </si>
  <si>
    <t>Claude (to be reimbursed)</t>
  </si>
  <si>
    <t>Anna-Lisa E. A. Hammond</t>
  </si>
  <si>
    <t>Claude Kwasi Boadi</t>
  </si>
  <si>
    <t>CLOSING BALANCE</t>
  </si>
  <si>
    <t>Eunice Tweneboaa Adu</t>
  </si>
  <si>
    <t>Esther Adjorkor Adjei</t>
  </si>
  <si>
    <t>Raphael Adjei Mensah</t>
  </si>
  <si>
    <t>Dennis Akuetteh Aryeetey</t>
  </si>
  <si>
    <t>TOTAL EXPECTED</t>
  </si>
  <si>
    <t>Daniel Asare Kwarteng</t>
  </si>
  <si>
    <t>Wisdom Kofi Datsomor</t>
  </si>
  <si>
    <t>Lisabeth Sybil Addah</t>
  </si>
  <si>
    <t>TOTAL RECEIVED</t>
  </si>
  <si>
    <t xml:space="preserve">Emmanuel Chukudi </t>
  </si>
  <si>
    <t>Regina Allotey</t>
  </si>
  <si>
    <t>Carl Quist</t>
  </si>
  <si>
    <t>Eleazar Kwabena Tijambi</t>
  </si>
  <si>
    <t>TOTAL OUTSTANDING</t>
  </si>
  <si>
    <t>WEEK 2 TUESDAY, 7TH MARCH - FRIDAY, 10TH APRIL 2026.</t>
  </si>
  <si>
    <t>Amount Owed</t>
  </si>
  <si>
    <t>MONDAY</t>
  </si>
  <si>
    <t>TUESDAY</t>
  </si>
  <si>
    <t>WEDNESDAY</t>
  </si>
  <si>
    <t>WEEK 3 MONDAY, 13TH - FRIDAY, 17TH APRIL 2026.</t>
  </si>
  <si>
    <t xml:space="preserve">                                                                                            </t>
  </si>
  <si>
    <t xml:space="preserve"> </t>
  </si>
  <si>
    <t>WEEK 4 MONDAY, 20TH - FRIDAY, 24TH MARCH 2026.</t>
  </si>
  <si>
    <t>WEEK 5 MONDAY, 27TH - THURSDAY, 30TH APRIL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</si>
</sst>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  <scheme val="minor"/>
    </font>
    <font>
      <sz val="11"/>
      <color rgb="FF0000FF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0000FF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</font>
    <font>
      <strike/>
      <sz val="11"/>
      <color theme="1"/>
      <name val="Calibri"/>
      <scheme val="minor"/>
    </font>
    <font>
      <sz val="11"/>
      <color theme="0"/>
      <name val="Calibri"/>
      <scheme val="minor"/>
    </font>
    <font>
      <strike/>
      <sz val="11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274E13"/>
        <bgColor rgb="FF274E13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7F6000"/>
        <bgColor rgb="FF7F6000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7" fillId="4" borderId="0" xfId="0" applyFont="1" applyFill="1"/>
    <xf numFmtId="0" fontId="4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0" borderId="0" xfId="0" applyFont="1"/>
    <xf numFmtId="0" fontId="6" fillId="7" borderId="0" xfId="0" applyFont="1" applyFill="1"/>
    <xf numFmtId="0" fontId="4" fillId="3" borderId="0" xfId="0" applyFont="1" applyFill="1"/>
    <xf numFmtId="0" fontId="9" fillId="0" borderId="0" xfId="0" applyFont="1"/>
    <xf numFmtId="0" fontId="10" fillId="0" borderId="0" xfId="0" applyFont="1"/>
    <xf numFmtId="0" fontId="1" fillId="8" borderId="0" xfId="0" applyFont="1" applyFill="1"/>
    <xf numFmtId="0" fontId="1" fillId="5" borderId="0" xfId="0" applyFont="1" applyFill="1"/>
    <xf numFmtId="0" fontId="4" fillId="6" borderId="0" xfId="0" applyFont="1" applyFill="1"/>
    <xf numFmtId="0" fontId="1" fillId="7" borderId="0" xfId="0" applyFont="1" applyFill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1" fillId="7" borderId="0" xfId="0" applyFont="1" applyFill="1" applyAlignment="1">
      <alignment horizontal="right"/>
    </xf>
    <xf numFmtId="0" fontId="7" fillId="9" borderId="0" xfId="0" applyFont="1" applyFill="1"/>
    <xf numFmtId="0" fontId="1" fillId="10" borderId="0" xfId="0" applyFont="1" applyFill="1"/>
    <xf numFmtId="0" fontId="7" fillId="11" borderId="0" xfId="0" applyFont="1" applyFill="1"/>
    <xf numFmtId="0" fontId="7" fillId="12" borderId="0" xfId="0" applyFont="1" applyFill="1"/>
    <xf numFmtId="0" fontId="9" fillId="13" borderId="0" xfId="0" applyFont="1" applyFill="1"/>
    <xf numFmtId="0" fontId="1" fillId="13" borderId="0" xfId="0" applyFont="1" applyFill="1"/>
    <xf numFmtId="0" fontId="4" fillId="14" borderId="0" xfId="0" applyFont="1" applyFill="1"/>
    <xf numFmtId="1" fontId="1" fillId="0" borderId="0" xfId="0" applyNumberFormat="1" applyFont="1"/>
    <xf numFmtId="0" fontId="13" fillId="6" borderId="0" xfId="0" applyFont="1" applyFill="1"/>
    <xf numFmtId="0" fontId="1" fillId="14" borderId="0" xfId="0" applyFont="1" applyFill="1"/>
    <xf numFmtId="0" fontId="5" fillId="14" borderId="0" xfId="0" applyFont="1" applyFill="1"/>
    <xf numFmtId="0" fontId="14" fillId="0" borderId="0" xfId="0" applyFont="1"/>
    <xf numFmtId="20" fontId="11" fillId="0" borderId="0" xfId="0" applyNumberFormat="1" applyFont="1"/>
    <xf numFmtId="1" fontId="1" fillId="5" borderId="0" xfId="0" applyNumberFormat="1" applyFont="1" applyFill="1"/>
    <xf numFmtId="1" fontId="4" fillId="6" borderId="0" xfId="0" applyNumberFormat="1" applyFont="1" applyFill="1"/>
    <xf numFmtId="20" fontId="1" fillId="0" borderId="0" xfId="0" applyNumberFormat="1" applyFont="1"/>
    <xf numFmtId="20" fontId="4" fillId="6" borderId="0" xfId="0" applyNumberFormat="1" applyFont="1" applyFill="1"/>
    <xf numFmtId="0" fontId="4" fillId="0" borderId="0" xfId="0" applyFont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OFFENCE%20BOOK%201.xlsx" TargetMode="External"/><Relationship Id="rId2" Type="http://schemas.openxmlformats.org/officeDocument/2006/relationships/externalLinkPath" Target="file:///C:\Users\wiskal\Documents\OFFENCE%20BOOK%201.xlsx" TargetMode="External"/><Relationship Id="rId1" Type="http://schemas.openxmlformats.org/officeDocument/2006/relationships/externalLinkPath" Target="/Users/wiskal/Documents/OFFENCE%20BOOK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5 CONTRIBUTIONS"/>
      <sheetName val="JULY 2025"/>
      <sheetName val="AUGUST 2025"/>
      <sheetName val="SEPTEMBER 2025"/>
      <sheetName val="OCTOBER 2025"/>
      <sheetName val="2026 CONTRIBUTIONS"/>
      <sheetName val="JANUARY 2026"/>
      <sheetName val="FEBRUARY 2026"/>
      <sheetName val="MARCH 2026"/>
      <sheetName val="APRIL 2026"/>
      <sheetName val="MAY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T11">
            <v>1335</v>
          </cell>
        </row>
        <row r="26">
          <cell r="Q26">
            <v>0</v>
          </cell>
        </row>
        <row r="27">
          <cell r="Q27">
            <v>75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60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185C-0B27-49FB-B4AA-D28D19F50214}">
  <sheetPr>
    <outlinePr summaryBelow="0" summaryRight="0"/>
  </sheetPr>
  <dimension ref="A1:V1013"/>
  <sheetViews>
    <sheetView tabSelected="1" topLeftCell="C59" zoomScaleNormal="100" workbookViewId="0">
      <selection activeCell="C47" sqref="C47"/>
    </sheetView>
  </sheetViews>
  <sheetFormatPr defaultColWidth="14.42578125" defaultRowHeight="15" customHeight="1" x14ac:dyDescent="0.25"/>
  <cols>
    <col min="1" max="1" width="2.7109375" customWidth="1"/>
    <col min="2" max="2" width="3.28515625" customWidth="1"/>
    <col min="3" max="3" width="24.42578125" customWidth="1"/>
    <col min="4" max="4" width="13" customWidth="1"/>
    <col min="5" max="5" width="11.28515625" customWidth="1"/>
    <col min="6" max="6" width="12.5703125" customWidth="1"/>
    <col min="7" max="7" width="11.5703125" customWidth="1"/>
    <col min="8" max="8" width="13.42578125" customWidth="1"/>
    <col min="9" max="15" width="8.7109375" customWidth="1"/>
    <col min="16" max="16" width="23.28515625" customWidth="1"/>
    <col min="17" max="17" width="16.85546875" customWidth="1"/>
    <col min="18" max="18" width="24.42578125" customWidth="1"/>
    <col min="19" max="19" width="9.42578125" customWidth="1"/>
    <col min="20" max="20" width="24.140625" customWidth="1"/>
    <col min="21" max="21" width="13.28515625" customWidth="1"/>
    <col min="22" max="22" width="20.140625" customWidth="1"/>
    <col min="23" max="23" width="18.28515625" customWidth="1"/>
    <col min="24" max="30" width="8.7109375" customWidth="1"/>
  </cols>
  <sheetData>
    <row r="1" spans="1:2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4"/>
      <c r="P1" s="5"/>
      <c r="U1" s="5"/>
    </row>
    <row r="2" spans="1:21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4"/>
      <c r="P2" s="5"/>
      <c r="U2" s="5"/>
    </row>
    <row r="3" spans="1:21" x14ac:dyDescent="0.2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3"/>
      <c r="O3" s="4"/>
      <c r="P3" s="5"/>
      <c r="U3" s="5"/>
    </row>
    <row r="4" spans="1:21" x14ac:dyDescent="0.25">
      <c r="A4" s="1"/>
      <c r="B4" s="2"/>
      <c r="C4" s="42" t="s">
        <v>0</v>
      </c>
      <c r="D4" s="43"/>
      <c r="E4" s="43"/>
      <c r="F4" s="43"/>
      <c r="G4" s="43"/>
      <c r="H4" s="43"/>
      <c r="I4" s="43"/>
      <c r="J4" s="43"/>
      <c r="K4" s="43"/>
      <c r="L4" s="43"/>
      <c r="M4" s="3"/>
      <c r="N4" s="3"/>
      <c r="O4" s="4"/>
      <c r="P4" s="6" t="s">
        <v>1</v>
      </c>
      <c r="R4" s="7" t="s">
        <v>2</v>
      </c>
      <c r="S4" s="8"/>
      <c r="T4" s="6" t="s">
        <v>3</v>
      </c>
    </row>
    <row r="5" spans="1:21" x14ac:dyDescent="0.25">
      <c r="A5" s="5"/>
      <c r="B5" s="5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/>
      <c r="M5" s="9" t="s">
        <v>13</v>
      </c>
      <c r="N5" s="10" t="s">
        <v>14</v>
      </c>
      <c r="O5" s="11"/>
      <c r="P5" s="6">
        <f>'[1]APRIL 2026'!T11</f>
        <v>1335</v>
      </c>
      <c r="Q5" s="5"/>
      <c r="R5" s="12" t="s">
        <v>15</v>
      </c>
      <c r="S5" s="12" t="s">
        <v>16</v>
      </c>
      <c r="T5" s="13">
        <f>SUM(P5,P12,P15)-S15</f>
        <v>3557</v>
      </c>
    </row>
    <row r="6" spans="1:21" x14ac:dyDescent="0.25">
      <c r="A6" s="14"/>
      <c r="B6" s="15">
        <v>1</v>
      </c>
      <c r="C6" s="14" t="s">
        <v>17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4"/>
      <c r="R6" s="19" t="s">
        <v>18</v>
      </c>
      <c r="S6" s="19">
        <v>50</v>
      </c>
    </row>
    <row r="7" spans="1:21" x14ac:dyDescent="0.25">
      <c r="A7" s="14"/>
      <c r="B7" s="15">
        <v>2</v>
      </c>
      <c r="C7" s="14" t="s">
        <v>19</v>
      </c>
      <c r="D7" s="20"/>
      <c r="E7" s="21"/>
      <c r="J7" s="22">
        <f t="shared" ref="J7:J21" si="0">SUM(D7:I7)</f>
        <v>0</v>
      </c>
      <c r="M7" s="17"/>
      <c r="N7" s="18">
        <f t="shared" ref="N7:N21" si="1">J7-M7</f>
        <v>0</v>
      </c>
      <c r="O7" s="4"/>
      <c r="P7" s="6" t="s">
        <v>20</v>
      </c>
      <c r="Q7" s="6" t="s">
        <v>21</v>
      </c>
      <c r="R7" s="19" t="s">
        <v>22</v>
      </c>
      <c r="S7" s="23">
        <v>28</v>
      </c>
      <c r="T7" s="24" t="s">
        <v>23</v>
      </c>
    </row>
    <row r="8" spans="1:21" x14ac:dyDescent="0.25">
      <c r="A8" s="14"/>
      <c r="B8" s="15">
        <v>3</v>
      </c>
      <c r="C8" s="14" t="s">
        <v>24</v>
      </c>
      <c r="D8" s="20"/>
      <c r="J8" s="22">
        <f t="shared" si="0"/>
        <v>0</v>
      </c>
      <c r="M8" s="17"/>
      <c r="N8" s="18">
        <f t="shared" si="1"/>
        <v>0</v>
      </c>
      <c r="O8" s="4"/>
      <c r="P8" s="25">
        <v>1000</v>
      </c>
      <c r="Q8" s="25"/>
      <c r="R8" s="19" t="s">
        <v>25</v>
      </c>
      <c r="S8" s="23">
        <v>200</v>
      </c>
      <c r="T8" s="24">
        <f>SUM(P5,P12, P18)</f>
        <v>3835</v>
      </c>
    </row>
    <row r="9" spans="1:21" x14ac:dyDescent="0.25">
      <c r="A9" s="14"/>
      <c r="B9" s="15">
        <v>4</v>
      </c>
      <c r="C9" s="14" t="s">
        <v>26</v>
      </c>
      <c r="D9" s="20"/>
      <c r="J9" s="22">
        <f t="shared" si="0"/>
        <v>0</v>
      </c>
      <c r="M9" s="17"/>
      <c r="N9" s="18">
        <f t="shared" si="1"/>
        <v>0</v>
      </c>
      <c r="O9" s="4"/>
      <c r="P9" s="25">
        <v>1500</v>
      </c>
      <c r="Q9" s="25"/>
      <c r="R9" s="19"/>
      <c r="S9" s="23"/>
    </row>
    <row r="10" spans="1:21" x14ac:dyDescent="0.25">
      <c r="A10" s="14"/>
      <c r="B10" s="15">
        <v>5</v>
      </c>
      <c r="C10" s="14" t="s">
        <v>27</v>
      </c>
      <c r="D10" s="20"/>
      <c r="J10" s="22">
        <f t="shared" si="0"/>
        <v>0</v>
      </c>
      <c r="M10" s="17"/>
      <c r="N10" s="18">
        <f t="shared" si="1"/>
        <v>0</v>
      </c>
      <c r="O10" s="4"/>
      <c r="P10" s="25"/>
      <c r="Q10" s="25"/>
      <c r="R10" s="19"/>
      <c r="S10" s="23"/>
      <c r="T10" s="26" t="s">
        <v>28</v>
      </c>
    </row>
    <row r="11" spans="1:21" x14ac:dyDescent="0.25">
      <c r="A11" s="14"/>
      <c r="B11" s="15">
        <v>6</v>
      </c>
      <c r="C11" s="14" t="s">
        <v>29</v>
      </c>
      <c r="D11" s="20"/>
      <c r="E11" s="21"/>
      <c r="G11" s="21"/>
      <c r="J11" s="22">
        <f t="shared" si="0"/>
        <v>0</v>
      </c>
      <c r="M11" s="17"/>
      <c r="N11" s="18">
        <f t="shared" si="1"/>
        <v>0</v>
      </c>
      <c r="O11" s="4"/>
      <c r="P11" s="25"/>
      <c r="Q11" s="25"/>
      <c r="R11" s="19"/>
      <c r="S11" s="23"/>
      <c r="T11" s="26">
        <f>SUM(P5,P12, P18)-S15</f>
        <v>3557</v>
      </c>
    </row>
    <row r="12" spans="1:21" x14ac:dyDescent="0.25">
      <c r="A12" s="14"/>
      <c r="B12" s="15">
        <v>7</v>
      </c>
      <c r="C12" s="14" t="s">
        <v>30</v>
      </c>
      <c r="D12" s="20"/>
      <c r="J12" s="22">
        <f t="shared" si="0"/>
        <v>0</v>
      </c>
      <c r="M12" s="17"/>
      <c r="N12" s="18">
        <f t="shared" si="1"/>
        <v>0</v>
      </c>
      <c r="O12" s="4"/>
      <c r="P12" s="6">
        <f>SUM(P8:P11)</f>
        <v>2500</v>
      </c>
      <c r="Q12" s="6"/>
      <c r="R12" s="19"/>
      <c r="S12" s="23"/>
    </row>
    <row r="13" spans="1:21" x14ac:dyDescent="0.25">
      <c r="A13" s="14"/>
      <c r="B13" s="15">
        <v>8</v>
      </c>
      <c r="C13" s="14" t="s">
        <v>31</v>
      </c>
      <c r="D13" s="20"/>
      <c r="J13" s="22">
        <f t="shared" si="0"/>
        <v>0</v>
      </c>
      <c r="M13" s="17"/>
      <c r="N13" s="18">
        <f t="shared" si="1"/>
        <v>0</v>
      </c>
      <c r="O13" s="4"/>
      <c r="R13" s="19"/>
      <c r="S13" s="23"/>
    </row>
    <row r="14" spans="1:21" x14ac:dyDescent="0.25">
      <c r="A14" s="14"/>
      <c r="B14" s="15">
        <v>9</v>
      </c>
      <c r="C14" s="14" t="s">
        <v>32</v>
      </c>
      <c r="J14" s="22">
        <f t="shared" si="0"/>
        <v>0</v>
      </c>
      <c r="M14" s="17"/>
      <c r="N14" s="18">
        <f t="shared" si="1"/>
        <v>0</v>
      </c>
      <c r="O14" s="4"/>
      <c r="P14" s="27" t="s">
        <v>33</v>
      </c>
      <c r="R14" s="19"/>
      <c r="S14" s="23"/>
    </row>
    <row r="15" spans="1:21" x14ac:dyDescent="0.25">
      <c r="A15" s="14"/>
      <c r="B15" s="15">
        <v>10</v>
      </c>
      <c r="C15" s="14" t="s">
        <v>34</v>
      </c>
      <c r="D15" s="20"/>
      <c r="E15" s="21"/>
      <c r="J15" s="22">
        <f t="shared" si="0"/>
        <v>0</v>
      </c>
      <c r="M15" s="17"/>
      <c r="N15" s="18">
        <f t="shared" si="1"/>
        <v>0</v>
      </c>
      <c r="O15" s="4"/>
      <c r="P15" s="27">
        <f>SUM(J23,J44,J65,J86,J107)</f>
        <v>0</v>
      </c>
      <c r="R15" s="7" t="s">
        <v>2</v>
      </c>
      <c r="S15" s="7">
        <f>SUM(S5:S14)</f>
        <v>278</v>
      </c>
    </row>
    <row r="16" spans="1:21" x14ac:dyDescent="0.25">
      <c r="A16" s="14"/>
      <c r="B16" s="15">
        <v>11</v>
      </c>
      <c r="C16" s="14" t="s">
        <v>35</v>
      </c>
      <c r="D16" s="20"/>
      <c r="E16" s="21"/>
      <c r="G16" s="21"/>
      <c r="J16" s="22">
        <f t="shared" si="0"/>
        <v>0</v>
      </c>
      <c r="M16" s="17"/>
      <c r="N16" s="18">
        <f t="shared" si="1"/>
        <v>0</v>
      </c>
      <c r="O16" s="4"/>
    </row>
    <row r="17" spans="1:22" x14ac:dyDescent="0.25">
      <c r="A17" s="22"/>
      <c r="B17" s="5">
        <v>12</v>
      </c>
      <c r="C17" s="22" t="s">
        <v>36</v>
      </c>
      <c r="D17" s="20"/>
      <c r="E17" s="21"/>
      <c r="G17" s="21"/>
      <c r="H17" s="21"/>
      <c r="J17" s="22">
        <f t="shared" si="0"/>
        <v>0</v>
      </c>
      <c r="M17" s="17"/>
      <c r="N17" s="18">
        <f t="shared" si="1"/>
        <v>0</v>
      </c>
      <c r="O17" s="4"/>
      <c r="P17" s="6" t="s">
        <v>37</v>
      </c>
    </row>
    <row r="18" spans="1:22" x14ac:dyDescent="0.25">
      <c r="A18" s="22"/>
      <c r="B18" s="5">
        <v>13</v>
      </c>
      <c r="C18" s="22" t="s">
        <v>38</v>
      </c>
      <c r="D18" s="20"/>
      <c r="J18" s="22">
        <f t="shared" si="0"/>
        <v>0</v>
      </c>
      <c r="M18" s="17"/>
      <c r="N18" s="18">
        <f t="shared" si="1"/>
        <v>0</v>
      </c>
      <c r="O18" s="4"/>
      <c r="P18" s="6">
        <f>SUM(M23,M44,M65,M86,M107)</f>
        <v>0</v>
      </c>
    </row>
    <row r="19" spans="1:22" x14ac:dyDescent="0.25">
      <c r="A19" s="22"/>
      <c r="B19" s="5">
        <v>14</v>
      </c>
      <c r="C19" s="22" t="s">
        <v>39</v>
      </c>
      <c r="D19" s="20"/>
      <c r="J19" s="22">
        <f t="shared" si="0"/>
        <v>0</v>
      </c>
      <c r="M19" s="17"/>
      <c r="N19" s="18">
        <f t="shared" si="1"/>
        <v>0</v>
      </c>
      <c r="O19" s="4"/>
    </row>
    <row r="20" spans="1:22" x14ac:dyDescent="0.25">
      <c r="A20" s="22"/>
      <c r="B20" s="5">
        <v>15</v>
      </c>
      <c r="C20" s="22" t="s">
        <v>40</v>
      </c>
      <c r="D20" s="20"/>
      <c r="J20" s="22">
        <f t="shared" si="0"/>
        <v>0</v>
      </c>
      <c r="M20" s="17"/>
      <c r="N20" s="18">
        <f t="shared" si="1"/>
        <v>0</v>
      </c>
      <c r="O20" s="4"/>
    </row>
    <row r="21" spans="1:22" x14ac:dyDescent="0.25">
      <c r="A21" s="22"/>
      <c r="B21" s="5">
        <v>16</v>
      </c>
      <c r="C21" s="22" t="s">
        <v>41</v>
      </c>
      <c r="D21" s="20"/>
      <c r="J21" s="22">
        <f t="shared" si="0"/>
        <v>0</v>
      </c>
      <c r="M21" s="17"/>
      <c r="N21" s="18">
        <f t="shared" si="1"/>
        <v>0</v>
      </c>
      <c r="O21" s="4"/>
    </row>
    <row r="22" spans="1:22" x14ac:dyDescent="0.25">
      <c r="A22" s="5"/>
      <c r="B22" s="5"/>
      <c r="C22" s="5"/>
      <c r="M22" s="17"/>
      <c r="N22" s="18"/>
      <c r="O22" s="4"/>
      <c r="P22" s="5" t="s">
        <v>42</v>
      </c>
    </row>
    <row r="23" spans="1:22" x14ac:dyDescent="0.25">
      <c r="A23" s="5"/>
      <c r="B23" s="5"/>
      <c r="C23" s="5" t="s">
        <v>11</v>
      </c>
      <c r="D23" s="22">
        <f t="shared" ref="D23:J23" si="2">SUM(D6:D21)</f>
        <v>0</v>
      </c>
      <c r="E23" s="22">
        <f t="shared" si="2"/>
        <v>0</v>
      </c>
      <c r="F23" s="22">
        <f t="shared" si="2"/>
        <v>0</v>
      </c>
      <c r="G23" s="22">
        <f t="shared" si="2"/>
        <v>0</v>
      </c>
      <c r="H23" s="22">
        <f t="shared" si="2"/>
        <v>0</v>
      </c>
      <c r="I23" s="22">
        <f t="shared" si="2"/>
        <v>0</v>
      </c>
      <c r="J23" s="22">
        <f t="shared" si="2"/>
        <v>0</v>
      </c>
      <c r="M23" s="17">
        <f>SUM(M6:M21)</f>
        <v>0</v>
      </c>
      <c r="N23" s="18">
        <f>J23-M23</f>
        <v>0</v>
      </c>
      <c r="O23" s="4"/>
      <c r="P23" s="22">
        <f>SUM(N23,N44,N65,N86)</f>
        <v>0</v>
      </c>
    </row>
    <row r="24" spans="1:22" x14ac:dyDescent="0.25">
      <c r="B24" s="5"/>
      <c r="O24" s="4"/>
    </row>
    <row r="25" spans="1:22" x14ac:dyDescent="0.25">
      <c r="A25" s="1"/>
      <c r="B25" s="2"/>
      <c r="C25" s="42" t="s">
        <v>43</v>
      </c>
      <c r="D25" s="43"/>
      <c r="E25" s="43"/>
      <c r="F25" s="43"/>
      <c r="G25" s="43"/>
      <c r="H25" s="43"/>
      <c r="I25" s="43"/>
      <c r="J25" s="43"/>
      <c r="K25" s="43"/>
      <c r="L25" s="43"/>
      <c r="M25" s="3"/>
      <c r="N25" s="3"/>
      <c r="O25" s="4"/>
      <c r="P25" s="5" t="s">
        <v>4</v>
      </c>
      <c r="Q25" s="5" t="s">
        <v>44</v>
      </c>
    </row>
    <row r="26" spans="1:22" ht="15.75" customHeight="1" x14ac:dyDescent="0.25">
      <c r="A26" s="5"/>
      <c r="B26" s="5"/>
      <c r="C26" s="5" t="s">
        <v>4</v>
      </c>
      <c r="D26" s="5" t="s">
        <v>45</v>
      </c>
      <c r="E26" s="5" t="s">
        <v>46</v>
      </c>
      <c r="F26" s="5" t="s">
        <v>47</v>
      </c>
      <c r="G26" s="5" t="s">
        <v>8</v>
      </c>
      <c r="H26" s="5" t="s">
        <v>9</v>
      </c>
      <c r="I26" s="5" t="s">
        <v>10</v>
      </c>
      <c r="J26" s="5" t="s">
        <v>11</v>
      </c>
      <c r="K26" s="5" t="s">
        <v>12</v>
      </c>
      <c r="L26" s="5"/>
      <c r="M26" s="9" t="s">
        <v>13</v>
      </c>
      <c r="N26" s="10" t="s">
        <v>14</v>
      </c>
      <c r="O26" s="11"/>
      <c r="P26" s="14" t="s">
        <v>17</v>
      </c>
      <c r="Q26" s="22">
        <f>SUM(N6,N27,N48,N69,N90,'[1]APRIL 2026'!Q26)</f>
        <v>0</v>
      </c>
    </row>
    <row r="27" spans="1:22" ht="15.75" customHeight="1" x14ac:dyDescent="0.25">
      <c r="A27" s="14"/>
      <c r="B27" s="15">
        <v>1</v>
      </c>
      <c r="C27" s="14" t="s">
        <v>17</v>
      </c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18">
        <f t="shared" ref="N27:N42" si="3">J27-M27</f>
        <v>0</v>
      </c>
      <c r="O27" s="4"/>
      <c r="P27" s="28" t="s">
        <v>19</v>
      </c>
      <c r="Q27" s="29">
        <f>SUM(N7,N28,N49,N70,N91,'[1]APRIL 2026'!Q27)</f>
        <v>75</v>
      </c>
    </row>
    <row r="28" spans="1:22" ht="15.75" customHeight="1" x14ac:dyDescent="0.25">
      <c r="A28" s="14"/>
      <c r="B28" s="15">
        <v>2</v>
      </c>
      <c r="C28" s="14" t="s">
        <v>19</v>
      </c>
      <c r="D28" s="20"/>
      <c r="E28" s="21"/>
      <c r="J28" s="22">
        <f t="shared" ref="J28:J32" si="4">SUM(E28:I28)</f>
        <v>0</v>
      </c>
      <c r="M28" s="17"/>
      <c r="N28" s="18">
        <f t="shared" si="3"/>
        <v>0</v>
      </c>
      <c r="O28" s="4"/>
      <c r="P28" s="14" t="s">
        <v>24</v>
      </c>
      <c r="Q28" s="22">
        <f>SUM(N8,N29,N50,N71,N92,'[1]APRIL 2026'!Q28)</f>
        <v>0</v>
      </c>
    </row>
    <row r="29" spans="1:22" ht="15.75" customHeight="1" x14ac:dyDescent="0.25">
      <c r="A29" s="14"/>
      <c r="B29" s="15">
        <v>3</v>
      </c>
      <c r="C29" s="14" t="s">
        <v>24</v>
      </c>
      <c r="D29" s="20"/>
      <c r="J29" s="22">
        <f t="shared" si="4"/>
        <v>0</v>
      </c>
      <c r="M29" s="17"/>
      <c r="N29" s="18">
        <f t="shared" si="3"/>
        <v>0</v>
      </c>
      <c r="O29" s="4"/>
      <c r="P29" s="14" t="s">
        <v>26</v>
      </c>
      <c r="Q29" s="22">
        <f>SUM(N9,N30,N51,N72,N93,'[1]APRIL 2026'!Q29)</f>
        <v>0</v>
      </c>
      <c r="V29" s="5"/>
    </row>
    <row r="30" spans="1:22" ht="15.75" customHeight="1" x14ac:dyDescent="0.25">
      <c r="A30" s="14"/>
      <c r="B30" s="15">
        <v>4</v>
      </c>
      <c r="C30" s="14" t="s">
        <v>26</v>
      </c>
      <c r="D30" s="20"/>
      <c r="J30" s="22">
        <f t="shared" si="4"/>
        <v>0</v>
      </c>
      <c r="M30" s="17"/>
      <c r="N30" s="18">
        <f t="shared" si="3"/>
        <v>0</v>
      </c>
      <c r="O30" s="4"/>
      <c r="P30" s="14" t="s">
        <v>27</v>
      </c>
      <c r="Q30" s="22">
        <f>SUM(N10,N31,N52,N73,N94,'[1]APRIL 2026'!Q30)</f>
        <v>0</v>
      </c>
      <c r="R30" s="5"/>
      <c r="S30" s="5"/>
      <c r="T30" s="5"/>
    </row>
    <row r="31" spans="1:22" ht="15.75" customHeight="1" x14ac:dyDescent="0.25">
      <c r="A31" s="14"/>
      <c r="B31" s="15">
        <v>5</v>
      </c>
      <c r="C31" s="14" t="s">
        <v>27</v>
      </c>
      <c r="D31" s="20"/>
      <c r="J31" s="22">
        <f t="shared" si="4"/>
        <v>0</v>
      </c>
      <c r="M31" s="17"/>
      <c r="N31" s="18">
        <f t="shared" si="3"/>
        <v>0</v>
      </c>
      <c r="O31" s="4"/>
      <c r="P31" s="14" t="s">
        <v>29</v>
      </c>
      <c r="Q31" s="22">
        <f>SUM(N11,N32,N53,N74,N95,'[1]APRIL 2026'!Q31)</f>
        <v>0</v>
      </c>
    </row>
    <row r="32" spans="1:22" ht="15.75" customHeight="1" x14ac:dyDescent="0.25">
      <c r="A32" s="14"/>
      <c r="B32" s="15">
        <v>6</v>
      </c>
      <c r="C32" s="14" t="s">
        <v>29</v>
      </c>
      <c r="D32" s="20"/>
      <c r="E32" s="21"/>
      <c r="F32" s="21"/>
      <c r="G32" s="21"/>
      <c r="J32" s="22">
        <f t="shared" si="4"/>
        <v>0</v>
      </c>
      <c r="M32" s="17"/>
      <c r="N32" s="18">
        <f t="shared" si="3"/>
        <v>0</v>
      </c>
      <c r="O32" s="4"/>
      <c r="P32" s="14" t="s">
        <v>30</v>
      </c>
      <c r="Q32" s="22">
        <f>SUM(N12,N33,N54,N75,N96,'[1]APRIL 2026'!Q32)</f>
        <v>0</v>
      </c>
      <c r="U32" s="5"/>
    </row>
    <row r="33" spans="1:20" ht="15.75" customHeight="1" x14ac:dyDescent="0.25">
      <c r="A33" s="14"/>
      <c r="B33" s="15">
        <v>7</v>
      </c>
      <c r="C33" s="14" t="s">
        <v>30</v>
      </c>
      <c r="D33" s="20"/>
      <c r="J33" s="22">
        <f>SUM(D33:I33)</f>
        <v>0</v>
      </c>
      <c r="M33" s="17"/>
      <c r="N33" s="18">
        <f>J33-M33</f>
        <v>0</v>
      </c>
      <c r="O33" s="4"/>
      <c r="P33" s="28" t="s">
        <v>31</v>
      </c>
      <c r="Q33" s="29">
        <f>SUM(N13,N34,N55,N76,N97,'[1]APRIL 2026'!Q33)</f>
        <v>0</v>
      </c>
      <c r="R33" s="22"/>
      <c r="S33" s="22"/>
      <c r="T33" s="22"/>
    </row>
    <row r="34" spans="1:20" ht="15.75" customHeight="1" x14ac:dyDescent="0.25">
      <c r="A34" s="14"/>
      <c r="B34" s="15">
        <v>8</v>
      </c>
      <c r="C34" s="14" t="s">
        <v>31</v>
      </c>
      <c r="D34" s="20"/>
      <c r="J34" s="22">
        <f>SUM(E34:I34)</f>
        <v>0</v>
      </c>
      <c r="M34" s="17"/>
      <c r="N34" s="18">
        <f t="shared" si="3"/>
        <v>0</v>
      </c>
      <c r="O34" s="4"/>
      <c r="P34" s="28" t="s">
        <v>32</v>
      </c>
      <c r="Q34" s="29">
        <f>SUM(N14,N35,N56,N77,N98,'[1]APRIL 2026'!Q34)</f>
        <v>60</v>
      </c>
    </row>
    <row r="35" spans="1:20" ht="15.75" customHeight="1" x14ac:dyDescent="0.25">
      <c r="A35" s="14"/>
      <c r="B35" s="15">
        <v>9</v>
      </c>
      <c r="C35" s="14" t="s">
        <v>32</v>
      </c>
      <c r="J35" s="22">
        <f t="shared" ref="J35:J42" si="5">SUM(E35:I35)</f>
        <v>0</v>
      </c>
      <c r="M35" s="17"/>
      <c r="N35" s="18">
        <f t="shared" si="3"/>
        <v>0</v>
      </c>
      <c r="O35" s="4"/>
      <c r="P35" s="14" t="s">
        <v>34</v>
      </c>
      <c r="Q35" s="22">
        <f>SUM(N15,N36,N57,N78,N99,'[1]APRIL 2026'!Q35)</f>
        <v>0</v>
      </c>
    </row>
    <row r="36" spans="1:20" ht="15.75" customHeight="1" x14ac:dyDescent="0.25">
      <c r="A36" s="14"/>
      <c r="B36" s="15">
        <v>10</v>
      </c>
      <c r="C36" s="14" t="s">
        <v>34</v>
      </c>
      <c r="D36" s="20"/>
      <c r="E36" s="21"/>
      <c r="G36" s="21"/>
      <c r="J36" s="22">
        <f t="shared" si="5"/>
        <v>0</v>
      </c>
      <c r="M36" s="17"/>
      <c r="N36" s="18">
        <f t="shared" si="3"/>
        <v>0</v>
      </c>
      <c r="O36" s="4"/>
      <c r="P36" s="14" t="s">
        <v>35</v>
      </c>
      <c r="Q36" s="22">
        <f>SUM(N16,N37,N58,N79,N100,'[1]APRIL 2026'!Q36)</f>
        <v>0</v>
      </c>
    </row>
    <row r="37" spans="1:20" ht="15.75" customHeight="1" x14ac:dyDescent="0.25">
      <c r="A37" s="14"/>
      <c r="B37" s="15">
        <v>11</v>
      </c>
      <c r="C37" s="14" t="s">
        <v>35</v>
      </c>
      <c r="D37" s="20"/>
      <c r="E37" s="21"/>
      <c r="F37" s="21"/>
      <c r="G37" s="21"/>
      <c r="J37" s="22">
        <f t="shared" si="5"/>
        <v>0</v>
      </c>
      <c r="M37" s="17"/>
      <c r="N37" s="18">
        <f t="shared" si="3"/>
        <v>0</v>
      </c>
      <c r="O37" s="4"/>
      <c r="P37" s="22" t="s">
        <v>36</v>
      </c>
      <c r="Q37" s="22">
        <f>SUM(N17,N38,N59,N80,N101,'[1]APRIL 2026'!Q37)</f>
        <v>0</v>
      </c>
    </row>
    <row r="38" spans="1:20" ht="15.75" customHeight="1" x14ac:dyDescent="0.25">
      <c r="A38" s="22"/>
      <c r="B38" s="5">
        <v>12</v>
      </c>
      <c r="C38" s="22" t="s">
        <v>36</v>
      </c>
      <c r="D38" s="20"/>
      <c r="E38" s="21"/>
      <c r="F38" s="21"/>
      <c r="G38" s="21"/>
      <c r="H38" s="21"/>
      <c r="J38" s="22">
        <f t="shared" si="5"/>
        <v>0</v>
      </c>
      <c r="M38" s="17"/>
      <c r="N38" s="18">
        <f t="shared" si="3"/>
        <v>0</v>
      </c>
      <c r="O38" s="4"/>
      <c r="P38" s="22" t="s">
        <v>38</v>
      </c>
      <c r="Q38" s="22">
        <f>SUM(N18,N39,N60,N81,N102,'[1]APRIL 2026'!Q38)</f>
        <v>0</v>
      </c>
    </row>
    <row r="39" spans="1:20" ht="15.75" customHeight="1" x14ac:dyDescent="0.25">
      <c r="A39" s="22"/>
      <c r="B39" s="5">
        <v>13</v>
      </c>
      <c r="C39" s="22" t="s">
        <v>38</v>
      </c>
      <c r="D39" s="20"/>
      <c r="J39" s="22">
        <f t="shared" si="5"/>
        <v>0</v>
      </c>
      <c r="M39" s="17"/>
      <c r="N39" s="18">
        <f t="shared" si="3"/>
        <v>0</v>
      </c>
      <c r="O39" s="4"/>
      <c r="P39" s="22" t="s">
        <v>39</v>
      </c>
      <c r="Q39" s="22">
        <f>SUM(N19,N40,N61,N82,N103,'[1]APRIL 2026'!Q39)</f>
        <v>0</v>
      </c>
    </row>
    <row r="40" spans="1:20" ht="15.75" customHeight="1" x14ac:dyDescent="0.25">
      <c r="A40" s="22"/>
      <c r="B40" s="5">
        <v>14</v>
      </c>
      <c r="C40" s="22" t="s">
        <v>39</v>
      </c>
      <c r="D40" s="20"/>
      <c r="J40" s="22">
        <f t="shared" si="5"/>
        <v>0</v>
      </c>
      <c r="M40" s="17"/>
      <c r="N40" s="18">
        <f t="shared" si="3"/>
        <v>0</v>
      </c>
      <c r="O40" s="4"/>
      <c r="P40" s="22" t="s">
        <v>40</v>
      </c>
      <c r="Q40" s="22">
        <f>SUM(N20,N41,N62,N83,N104,'[1]APRIL 2026'!Q40)</f>
        <v>0</v>
      </c>
    </row>
    <row r="41" spans="1:20" ht="15.75" customHeight="1" x14ac:dyDescent="0.25">
      <c r="A41" s="22"/>
      <c r="B41" s="5">
        <v>15</v>
      </c>
      <c r="C41" s="22" t="s">
        <v>40</v>
      </c>
      <c r="J41" s="22">
        <f t="shared" si="5"/>
        <v>0</v>
      </c>
      <c r="M41" s="17"/>
      <c r="N41" s="18">
        <f t="shared" si="3"/>
        <v>0</v>
      </c>
      <c r="O41" s="4"/>
      <c r="P41" s="22" t="s">
        <v>41</v>
      </c>
      <c r="Q41" s="22">
        <f>SUM(N21,N42,N63,N84,N105,'[1]APRIL 2026'!Q41)</f>
        <v>0</v>
      </c>
    </row>
    <row r="42" spans="1:20" ht="15.75" customHeight="1" x14ac:dyDescent="0.25">
      <c r="A42" s="22"/>
      <c r="B42" s="5">
        <v>16</v>
      </c>
      <c r="C42" s="22" t="s">
        <v>41</v>
      </c>
      <c r="J42" s="22">
        <f t="shared" si="5"/>
        <v>0</v>
      </c>
      <c r="M42" s="17"/>
      <c r="N42" s="18">
        <f t="shared" si="3"/>
        <v>0</v>
      </c>
      <c r="O42" s="4"/>
    </row>
    <row r="43" spans="1:20" ht="15.75" customHeight="1" x14ac:dyDescent="0.25">
      <c r="B43" s="5"/>
      <c r="M43" s="17"/>
      <c r="N43" s="18"/>
      <c r="O43" s="4"/>
    </row>
    <row r="44" spans="1:20" ht="15.75" customHeight="1" x14ac:dyDescent="0.25">
      <c r="A44" s="5"/>
      <c r="B44" s="5"/>
      <c r="C44" s="5" t="s">
        <v>11</v>
      </c>
      <c r="D44" s="22">
        <f t="shared" ref="D44:I44" si="6">SUM(D27:D42)</f>
        <v>0</v>
      </c>
      <c r="E44" s="22">
        <f t="shared" si="6"/>
        <v>0</v>
      </c>
      <c r="F44" s="22">
        <f t="shared" si="6"/>
        <v>0</v>
      </c>
      <c r="G44" s="22">
        <f t="shared" si="6"/>
        <v>0</v>
      </c>
      <c r="H44" s="22">
        <f t="shared" si="6"/>
        <v>0</v>
      </c>
      <c r="I44" s="22">
        <f t="shared" si="6"/>
        <v>0</v>
      </c>
      <c r="J44" s="22">
        <f>SUM(J27:J40)</f>
        <v>0</v>
      </c>
      <c r="M44" s="17">
        <f>SUM(M27:M42)</f>
        <v>0</v>
      </c>
      <c r="N44" s="18">
        <f>J44-M44</f>
        <v>0</v>
      </c>
      <c r="O44" s="4"/>
    </row>
    <row r="45" spans="1:20" ht="15.75" customHeight="1" x14ac:dyDescent="0.25">
      <c r="B45" s="5"/>
      <c r="N45" s="30"/>
      <c r="O45" s="4"/>
    </row>
    <row r="46" spans="1:20" ht="15.75" customHeight="1" x14ac:dyDescent="0.25">
      <c r="A46" s="1"/>
      <c r="B46" s="2"/>
      <c r="C46" s="42" t="s">
        <v>48</v>
      </c>
      <c r="D46" s="43"/>
      <c r="E46" s="43"/>
      <c r="F46" s="43"/>
      <c r="G46" s="43"/>
      <c r="H46" s="43"/>
      <c r="I46" s="43"/>
      <c r="J46" s="43"/>
      <c r="K46" s="43"/>
      <c r="L46" s="43"/>
      <c r="M46" s="3"/>
      <c r="N46" s="3"/>
      <c r="O46" s="4"/>
    </row>
    <row r="47" spans="1:20" ht="15.75" customHeight="1" x14ac:dyDescent="0.25">
      <c r="B47" s="5"/>
      <c r="C47" s="22" t="s">
        <v>49</v>
      </c>
      <c r="D47" s="31" t="s">
        <v>5</v>
      </c>
      <c r="E47" s="22" t="s">
        <v>6</v>
      </c>
      <c r="F47" s="22" t="s">
        <v>7</v>
      </c>
      <c r="G47" s="22" t="s">
        <v>8</v>
      </c>
      <c r="H47" s="22" t="s">
        <v>9</v>
      </c>
      <c r="I47" s="5" t="s">
        <v>10</v>
      </c>
      <c r="J47" s="22" t="s">
        <v>11</v>
      </c>
      <c r="K47" s="22" t="s">
        <v>12</v>
      </c>
      <c r="M47" s="17" t="s">
        <v>13</v>
      </c>
      <c r="N47" s="18" t="s">
        <v>14</v>
      </c>
      <c r="O47" s="4"/>
    </row>
    <row r="48" spans="1:20" ht="15.75" customHeight="1" x14ac:dyDescent="0.25">
      <c r="A48" s="14"/>
      <c r="B48" s="15">
        <v>1</v>
      </c>
      <c r="C48" s="14" t="s">
        <v>17</v>
      </c>
      <c r="D48" s="16"/>
      <c r="E48" s="16"/>
      <c r="F48" s="16"/>
      <c r="G48" s="16"/>
      <c r="H48" s="16"/>
      <c r="I48" s="16"/>
      <c r="J48" s="16"/>
      <c r="K48" s="16"/>
      <c r="L48" s="16"/>
      <c r="M48" s="17"/>
      <c r="N48" s="18">
        <f t="shared" ref="N48:N63" si="7">J48-M48</f>
        <v>0</v>
      </c>
      <c r="O48" s="4"/>
    </row>
    <row r="49" spans="1:17" ht="15.75" customHeight="1" x14ac:dyDescent="0.25">
      <c r="A49" s="14"/>
      <c r="B49" s="15">
        <v>2</v>
      </c>
      <c r="C49" s="14" t="s">
        <v>19</v>
      </c>
      <c r="D49" s="20"/>
      <c r="J49" s="22">
        <f t="shared" ref="J49:J63" si="8">SUM(D49:I49)</f>
        <v>0</v>
      </c>
      <c r="M49" s="17"/>
      <c r="N49" s="18">
        <f t="shared" si="7"/>
        <v>0</v>
      </c>
      <c r="O49" s="4"/>
    </row>
    <row r="50" spans="1:17" ht="15.75" customHeight="1" x14ac:dyDescent="0.25">
      <c r="A50" s="14"/>
      <c r="B50" s="15">
        <v>3</v>
      </c>
      <c r="C50" s="14" t="s">
        <v>24</v>
      </c>
      <c r="J50" s="22">
        <f t="shared" si="8"/>
        <v>0</v>
      </c>
      <c r="M50" s="17"/>
      <c r="N50" s="18">
        <f t="shared" si="7"/>
        <v>0</v>
      </c>
      <c r="O50" s="4"/>
    </row>
    <row r="51" spans="1:17" ht="15.75" customHeight="1" x14ac:dyDescent="0.25">
      <c r="A51" s="14"/>
      <c r="B51" s="15">
        <v>4</v>
      </c>
      <c r="C51" s="14" t="s">
        <v>26</v>
      </c>
      <c r="D51" s="20"/>
      <c r="J51" s="22">
        <f t="shared" si="8"/>
        <v>0</v>
      </c>
      <c r="M51" s="17"/>
      <c r="N51" s="18">
        <f t="shared" si="7"/>
        <v>0</v>
      </c>
      <c r="O51" s="4"/>
    </row>
    <row r="52" spans="1:17" ht="15.75" customHeight="1" x14ac:dyDescent="0.25">
      <c r="A52" s="14"/>
      <c r="B52" s="15">
        <v>5</v>
      </c>
      <c r="C52" s="14" t="s">
        <v>27</v>
      </c>
      <c r="D52" s="20"/>
      <c r="J52" s="22">
        <f t="shared" si="8"/>
        <v>0</v>
      </c>
      <c r="M52" s="17"/>
      <c r="N52" s="18">
        <f t="shared" si="7"/>
        <v>0</v>
      </c>
      <c r="O52" s="4"/>
    </row>
    <row r="53" spans="1:17" ht="15.75" customHeight="1" x14ac:dyDescent="0.25">
      <c r="A53" s="14"/>
      <c r="B53" s="15">
        <v>6</v>
      </c>
      <c r="C53" s="14" t="s">
        <v>29</v>
      </c>
      <c r="D53" s="20"/>
      <c r="J53" s="22">
        <f t="shared" si="8"/>
        <v>0</v>
      </c>
      <c r="M53" s="17"/>
      <c r="N53" s="18">
        <f t="shared" si="7"/>
        <v>0</v>
      </c>
      <c r="O53" s="4"/>
    </row>
    <row r="54" spans="1:17" ht="15.75" customHeight="1" x14ac:dyDescent="0.25">
      <c r="A54" s="14"/>
      <c r="B54" s="15">
        <v>7</v>
      </c>
      <c r="C54" s="14" t="s">
        <v>30</v>
      </c>
      <c r="D54" s="20"/>
      <c r="J54" s="22">
        <f t="shared" si="8"/>
        <v>0</v>
      </c>
      <c r="M54" s="17"/>
      <c r="N54" s="18">
        <f t="shared" si="7"/>
        <v>0</v>
      </c>
      <c r="O54" s="4"/>
    </row>
    <row r="55" spans="1:17" ht="15.75" customHeight="1" x14ac:dyDescent="0.25">
      <c r="A55" s="14"/>
      <c r="B55" s="15">
        <v>8</v>
      </c>
      <c r="C55" s="14" t="s">
        <v>31</v>
      </c>
      <c r="D55" s="20"/>
      <c r="J55" s="22">
        <f t="shared" si="8"/>
        <v>0</v>
      </c>
      <c r="M55" s="17"/>
      <c r="N55" s="18">
        <f t="shared" si="7"/>
        <v>0</v>
      </c>
      <c r="O55" s="4"/>
    </row>
    <row r="56" spans="1:17" ht="15.75" customHeight="1" x14ac:dyDescent="0.25">
      <c r="A56" s="14"/>
      <c r="B56" s="15">
        <v>9</v>
      </c>
      <c r="C56" s="14" t="s">
        <v>32</v>
      </c>
      <c r="J56" s="22">
        <f t="shared" si="8"/>
        <v>0</v>
      </c>
      <c r="M56" s="17"/>
      <c r="N56" s="18">
        <f t="shared" si="7"/>
        <v>0</v>
      </c>
      <c r="O56" s="4"/>
    </row>
    <row r="57" spans="1:17" ht="15.75" customHeight="1" x14ac:dyDescent="0.25">
      <c r="A57" s="14"/>
      <c r="B57" s="15">
        <v>10</v>
      </c>
      <c r="C57" s="14" t="s">
        <v>34</v>
      </c>
      <c r="D57" s="20"/>
      <c r="J57" s="22">
        <f t="shared" si="8"/>
        <v>0</v>
      </c>
      <c r="M57" s="17"/>
      <c r="N57" s="18">
        <f t="shared" si="7"/>
        <v>0</v>
      </c>
      <c r="O57" s="4"/>
      <c r="Q57" s="22" t="s">
        <v>50</v>
      </c>
    </row>
    <row r="58" spans="1:17" ht="15.75" customHeight="1" x14ac:dyDescent="0.25">
      <c r="A58" s="14"/>
      <c r="B58" s="15">
        <v>11</v>
      </c>
      <c r="C58" s="14" t="s">
        <v>35</v>
      </c>
      <c r="D58" s="20"/>
      <c r="J58" s="22">
        <f t="shared" si="8"/>
        <v>0</v>
      </c>
      <c r="M58" s="17"/>
      <c r="N58" s="18">
        <f t="shared" si="7"/>
        <v>0</v>
      </c>
      <c r="O58" s="4"/>
    </row>
    <row r="59" spans="1:17" ht="15.75" customHeight="1" x14ac:dyDescent="0.25">
      <c r="A59" s="22"/>
      <c r="B59" s="5">
        <v>12</v>
      </c>
      <c r="C59" s="22" t="s">
        <v>36</v>
      </c>
      <c r="D59" s="20"/>
      <c r="J59" s="22">
        <f t="shared" si="8"/>
        <v>0</v>
      </c>
      <c r="M59" s="17"/>
      <c r="N59" s="18">
        <f t="shared" si="7"/>
        <v>0</v>
      </c>
      <c r="O59" s="4"/>
    </row>
    <row r="60" spans="1:17" ht="15.75" customHeight="1" x14ac:dyDescent="0.25">
      <c r="A60" s="22"/>
      <c r="B60" s="5">
        <v>13</v>
      </c>
      <c r="C60" s="22" t="s">
        <v>38</v>
      </c>
      <c r="J60" s="22">
        <f t="shared" si="8"/>
        <v>0</v>
      </c>
      <c r="M60" s="17"/>
      <c r="N60" s="18">
        <f t="shared" si="7"/>
        <v>0</v>
      </c>
      <c r="O60" s="4"/>
    </row>
    <row r="61" spans="1:17" ht="15.75" customHeight="1" x14ac:dyDescent="0.25">
      <c r="A61" s="22"/>
      <c r="B61" s="5">
        <v>14</v>
      </c>
      <c r="C61" s="22" t="s">
        <v>39</v>
      </c>
      <c r="D61" s="20"/>
      <c r="J61" s="22">
        <f t="shared" si="8"/>
        <v>0</v>
      </c>
      <c r="M61" s="17"/>
      <c r="N61" s="18">
        <f t="shared" si="7"/>
        <v>0</v>
      </c>
      <c r="O61" s="4"/>
    </row>
    <row r="62" spans="1:17" ht="15.75" customHeight="1" x14ac:dyDescent="0.25">
      <c r="A62" s="22"/>
      <c r="B62" s="5">
        <v>15</v>
      </c>
      <c r="C62" s="22" t="s">
        <v>40</v>
      </c>
      <c r="J62" s="22">
        <f t="shared" si="8"/>
        <v>0</v>
      </c>
      <c r="M62" s="17"/>
      <c r="N62" s="18">
        <f t="shared" si="7"/>
        <v>0</v>
      </c>
      <c r="O62" s="4"/>
    </row>
    <row r="63" spans="1:17" ht="15.75" customHeight="1" x14ac:dyDescent="0.25">
      <c r="A63" s="22"/>
      <c r="B63" s="5">
        <v>16</v>
      </c>
      <c r="C63" s="22" t="s">
        <v>41</v>
      </c>
      <c r="J63" s="22">
        <f t="shared" si="8"/>
        <v>0</v>
      </c>
      <c r="M63" s="17"/>
      <c r="N63" s="18">
        <f t="shared" si="7"/>
        <v>0</v>
      </c>
      <c r="O63" s="4"/>
    </row>
    <row r="64" spans="1:17" ht="15.75" customHeight="1" x14ac:dyDescent="0.25">
      <c r="B64" s="5"/>
      <c r="M64" s="17"/>
      <c r="N64" s="18"/>
      <c r="O64" s="4"/>
    </row>
    <row r="65" spans="1:15" ht="15.75" customHeight="1" x14ac:dyDescent="0.25">
      <c r="A65" s="5"/>
      <c r="B65" s="5"/>
      <c r="C65" s="5" t="s">
        <v>11</v>
      </c>
      <c r="D65" s="22">
        <f t="shared" ref="D65:I65" si="9">SUM(D48:D63)</f>
        <v>0</v>
      </c>
      <c r="E65" s="22">
        <f t="shared" si="9"/>
        <v>0</v>
      </c>
      <c r="F65" s="22">
        <f t="shared" si="9"/>
        <v>0</v>
      </c>
      <c r="G65" s="22">
        <f t="shared" si="9"/>
        <v>0</v>
      </c>
      <c r="H65" s="22">
        <f t="shared" si="9"/>
        <v>0</v>
      </c>
      <c r="I65" s="22">
        <f t="shared" si="9"/>
        <v>0</v>
      </c>
      <c r="J65" s="22">
        <f>SUM(J48:J62)</f>
        <v>0</v>
      </c>
      <c r="M65" s="17">
        <f>SUM(M48:M63)</f>
        <v>0</v>
      </c>
      <c r="N65" s="32">
        <f>SUM(N48:N62)</f>
        <v>0</v>
      </c>
      <c r="O65" s="4"/>
    </row>
    <row r="66" spans="1:15" ht="15.75" customHeight="1" x14ac:dyDescent="0.25">
      <c r="B66" s="5"/>
      <c r="D66" s="31"/>
      <c r="N66" s="33"/>
      <c r="O66" s="34"/>
    </row>
    <row r="67" spans="1:15" ht="15.75" customHeight="1" x14ac:dyDescent="0.25">
      <c r="A67" s="1"/>
      <c r="B67" s="2"/>
      <c r="C67" s="42" t="s">
        <v>51</v>
      </c>
      <c r="D67" s="43"/>
      <c r="E67" s="43"/>
      <c r="F67" s="43"/>
      <c r="G67" s="43"/>
      <c r="H67" s="43"/>
      <c r="I67" s="43"/>
      <c r="J67" s="43"/>
      <c r="K67" s="43"/>
      <c r="L67" s="43"/>
      <c r="M67" s="3"/>
      <c r="N67" s="3"/>
      <c r="O67" s="4"/>
    </row>
    <row r="68" spans="1:15" ht="15.75" customHeight="1" x14ac:dyDescent="0.25">
      <c r="B68" s="5"/>
      <c r="C68" s="22" t="s">
        <v>4</v>
      </c>
      <c r="D68" s="22" t="s">
        <v>5</v>
      </c>
      <c r="E68" s="22" t="s">
        <v>6</v>
      </c>
      <c r="F68" s="22" t="s">
        <v>7</v>
      </c>
      <c r="G68" s="22" t="s">
        <v>8</v>
      </c>
      <c r="H68" s="22" t="s">
        <v>9</v>
      </c>
      <c r="I68" s="5" t="s">
        <v>10</v>
      </c>
      <c r="J68" s="22" t="s">
        <v>11</v>
      </c>
      <c r="K68" s="22" t="s">
        <v>12</v>
      </c>
      <c r="M68" s="17" t="s">
        <v>13</v>
      </c>
      <c r="N68" s="18" t="s">
        <v>14</v>
      </c>
      <c r="O68" s="4"/>
    </row>
    <row r="69" spans="1:15" ht="15.75" customHeight="1" x14ac:dyDescent="0.25">
      <c r="A69" s="14"/>
      <c r="B69" s="15">
        <v>1</v>
      </c>
      <c r="C69" s="14" t="s">
        <v>17</v>
      </c>
      <c r="D69" s="16" t="s">
        <v>50</v>
      </c>
      <c r="E69" s="16"/>
      <c r="F69" s="16"/>
      <c r="G69" s="16"/>
      <c r="H69" s="16"/>
      <c r="I69" s="16"/>
      <c r="J69" s="16"/>
      <c r="K69" s="16"/>
      <c r="L69" s="16"/>
      <c r="M69" s="17"/>
      <c r="N69" s="18">
        <f t="shared" ref="N69:N84" si="10">J69-M69</f>
        <v>0</v>
      </c>
      <c r="O69" s="4"/>
    </row>
    <row r="70" spans="1:15" ht="15.75" customHeight="1" x14ac:dyDescent="0.25">
      <c r="A70" s="14"/>
      <c r="B70" s="15">
        <v>2</v>
      </c>
      <c r="C70" s="14" t="s">
        <v>19</v>
      </c>
      <c r="D70" s="20"/>
      <c r="J70" s="22">
        <f t="shared" ref="J70:J72" si="11">SUM(D70:I70)</f>
        <v>0</v>
      </c>
      <c r="M70" s="17"/>
      <c r="N70" s="18">
        <f t="shared" si="10"/>
        <v>0</v>
      </c>
      <c r="O70" s="4"/>
    </row>
    <row r="71" spans="1:15" ht="15.75" customHeight="1" x14ac:dyDescent="0.25">
      <c r="A71" s="14"/>
      <c r="B71" s="15">
        <v>3</v>
      </c>
      <c r="C71" s="14" t="s">
        <v>24</v>
      </c>
      <c r="J71" s="22">
        <f t="shared" si="11"/>
        <v>0</v>
      </c>
      <c r="M71" s="17"/>
      <c r="N71" s="18">
        <f t="shared" si="10"/>
        <v>0</v>
      </c>
      <c r="O71" s="4"/>
    </row>
    <row r="72" spans="1:15" ht="15.75" customHeight="1" x14ac:dyDescent="0.25">
      <c r="A72" s="14"/>
      <c r="B72" s="15">
        <v>4</v>
      </c>
      <c r="C72" s="14" t="s">
        <v>26</v>
      </c>
      <c r="D72" s="35"/>
      <c r="J72" s="22">
        <f t="shared" si="11"/>
        <v>0</v>
      </c>
      <c r="M72" s="17"/>
      <c r="N72" s="18">
        <f t="shared" si="10"/>
        <v>0</v>
      </c>
      <c r="O72" s="4"/>
    </row>
    <row r="73" spans="1:15" ht="15.75" customHeight="1" x14ac:dyDescent="0.25">
      <c r="A73" s="14"/>
      <c r="B73" s="15">
        <v>5</v>
      </c>
      <c r="C73" s="14" t="s">
        <v>27</v>
      </c>
      <c r="D73" s="36"/>
      <c r="J73" s="22">
        <v>0</v>
      </c>
      <c r="M73" s="17"/>
      <c r="N73" s="18">
        <f t="shared" si="10"/>
        <v>0</v>
      </c>
      <c r="O73" s="4"/>
    </row>
    <row r="74" spans="1:15" ht="15.75" customHeight="1" x14ac:dyDescent="0.25">
      <c r="A74" s="14"/>
      <c r="B74" s="15">
        <v>6</v>
      </c>
      <c r="C74" s="14" t="s">
        <v>29</v>
      </c>
      <c r="D74" s="36"/>
      <c r="J74" s="22">
        <f>SUM(E74:I74)</f>
        <v>0</v>
      </c>
      <c r="M74" s="17"/>
      <c r="N74" s="18">
        <f t="shared" si="10"/>
        <v>0</v>
      </c>
      <c r="O74" s="4"/>
    </row>
    <row r="75" spans="1:15" ht="15.75" customHeight="1" x14ac:dyDescent="0.25">
      <c r="A75" s="14"/>
      <c r="B75" s="15">
        <v>7</v>
      </c>
      <c r="C75" s="14" t="s">
        <v>30</v>
      </c>
      <c r="D75" s="20"/>
      <c r="J75" s="22">
        <f t="shared" ref="J75:J81" si="12">SUM(D75:I75)</f>
        <v>0</v>
      </c>
      <c r="M75" s="17"/>
      <c r="N75" s="18">
        <f t="shared" si="10"/>
        <v>0</v>
      </c>
      <c r="O75" s="4"/>
    </row>
    <row r="76" spans="1:15" ht="15.75" customHeight="1" x14ac:dyDescent="0.25">
      <c r="A76" s="14"/>
      <c r="B76" s="15">
        <v>8</v>
      </c>
      <c r="C76" s="14" t="s">
        <v>31</v>
      </c>
      <c r="D76" s="20"/>
      <c r="J76" s="22">
        <f t="shared" si="12"/>
        <v>0</v>
      </c>
      <c r="M76" s="17"/>
      <c r="N76" s="18">
        <f t="shared" si="10"/>
        <v>0</v>
      </c>
      <c r="O76" s="4"/>
    </row>
    <row r="77" spans="1:15" ht="15.75" customHeight="1" x14ac:dyDescent="0.25">
      <c r="A77" s="14"/>
      <c r="B77" s="15">
        <v>9</v>
      </c>
      <c r="C77" s="14" t="s">
        <v>32</v>
      </c>
      <c r="J77" s="22">
        <f t="shared" si="12"/>
        <v>0</v>
      </c>
      <c r="M77" s="17"/>
      <c r="N77" s="18">
        <f t="shared" si="10"/>
        <v>0</v>
      </c>
      <c r="O77" s="4"/>
    </row>
    <row r="78" spans="1:15" ht="15.75" customHeight="1" x14ac:dyDescent="0.25">
      <c r="A78" s="14"/>
      <c r="B78" s="15">
        <v>10</v>
      </c>
      <c r="C78" s="14" t="s">
        <v>34</v>
      </c>
      <c r="D78" s="20"/>
      <c r="J78" s="22">
        <f t="shared" si="12"/>
        <v>0</v>
      </c>
      <c r="M78" s="17"/>
      <c r="N78" s="18">
        <f t="shared" si="10"/>
        <v>0</v>
      </c>
      <c r="O78" s="4"/>
    </row>
    <row r="79" spans="1:15" ht="15.75" customHeight="1" x14ac:dyDescent="0.25">
      <c r="A79" s="14"/>
      <c r="B79" s="15">
        <v>11</v>
      </c>
      <c r="C79" s="14" t="s">
        <v>35</v>
      </c>
      <c r="D79" s="20"/>
      <c r="J79" s="22">
        <f t="shared" si="12"/>
        <v>0</v>
      </c>
      <c r="M79" s="17"/>
      <c r="N79" s="18">
        <f t="shared" si="10"/>
        <v>0</v>
      </c>
      <c r="O79" s="4"/>
    </row>
    <row r="80" spans="1:15" ht="15.75" customHeight="1" x14ac:dyDescent="0.25">
      <c r="A80" s="22"/>
      <c r="B80" s="5">
        <v>12</v>
      </c>
      <c r="C80" s="22" t="s">
        <v>36</v>
      </c>
      <c r="D80" s="20"/>
      <c r="J80" s="22">
        <f t="shared" si="12"/>
        <v>0</v>
      </c>
      <c r="M80" s="17"/>
      <c r="N80" s="18">
        <f t="shared" si="10"/>
        <v>0</v>
      </c>
      <c r="O80" s="4"/>
    </row>
    <row r="81" spans="1:16" ht="15.75" customHeight="1" x14ac:dyDescent="0.25">
      <c r="A81" s="22"/>
      <c r="B81" s="5">
        <v>13</v>
      </c>
      <c r="C81" s="22" t="s">
        <v>38</v>
      </c>
      <c r="J81" s="22">
        <f t="shared" si="12"/>
        <v>0</v>
      </c>
      <c r="M81" s="17"/>
      <c r="N81" s="18">
        <f t="shared" si="10"/>
        <v>0</v>
      </c>
      <c r="O81" s="4"/>
    </row>
    <row r="82" spans="1:16" ht="15.75" customHeight="1" x14ac:dyDescent="0.25">
      <c r="A82" s="22"/>
      <c r="B82" s="5">
        <v>14</v>
      </c>
      <c r="C82" s="22" t="s">
        <v>39</v>
      </c>
      <c r="D82" s="36"/>
      <c r="M82" s="17"/>
      <c r="N82" s="18">
        <f t="shared" si="10"/>
        <v>0</v>
      </c>
      <c r="O82" s="4"/>
    </row>
    <row r="83" spans="1:16" ht="15.75" customHeight="1" x14ac:dyDescent="0.25">
      <c r="A83" s="22"/>
      <c r="B83" s="5">
        <v>15</v>
      </c>
      <c r="C83" s="22" t="s">
        <v>40</v>
      </c>
      <c r="J83" s="22">
        <f t="shared" ref="J83:J84" si="13">SUM(D83:I83)</f>
        <v>0</v>
      </c>
      <c r="M83" s="17"/>
      <c r="N83" s="18">
        <f t="shared" si="10"/>
        <v>0</v>
      </c>
      <c r="O83" s="4"/>
    </row>
    <row r="84" spans="1:16" ht="15.75" customHeight="1" x14ac:dyDescent="0.25">
      <c r="A84" s="22"/>
      <c r="B84" s="5">
        <v>16</v>
      </c>
      <c r="C84" s="22" t="s">
        <v>41</v>
      </c>
      <c r="J84" s="22">
        <f t="shared" si="13"/>
        <v>0</v>
      </c>
      <c r="M84" s="17"/>
      <c r="N84" s="18">
        <f t="shared" si="10"/>
        <v>0</v>
      </c>
      <c r="O84" s="4"/>
    </row>
    <row r="85" spans="1:16" ht="15.75" customHeight="1" x14ac:dyDescent="0.25">
      <c r="B85" s="5"/>
      <c r="M85" s="17"/>
      <c r="N85" s="18"/>
      <c r="O85" s="4"/>
    </row>
    <row r="86" spans="1:16" ht="15.75" customHeight="1" x14ac:dyDescent="0.25">
      <c r="A86" s="5"/>
      <c r="B86" s="5"/>
      <c r="C86" s="5" t="s">
        <v>11</v>
      </c>
      <c r="D86" s="31">
        <f t="shared" ref="D86:I86" si="14">SUM(D69:D84)</f>
        <v>0</v>
      </c>
      <c r="E86" s="31">
        <f t="shared" si="14"/>
        <v>0</v>
      </c>
      <c r="F86" s="31">
        <f t="shared" si="14"/>
        <v>0</v>
      </c>
      <c r="G86" s="31">
        <f t="shared" si="14"/>
        <v>0</v>
      </c>
      <c r="H86" s="31">
        <f t="shared" si="14"/>
        <v>0</v>
      </c>
      <c r="I86" s="31">
        <f t="shared" si="14"/>
        <v>0</v>
      </c>
      <c r="J86" s="31">
        <f>SUM(D86:I86)</f>
        <v>0</v>
      </c>
      <c r="K86" s="31"/>
      <c r="L86" s="31"/>
      <c r="M86" s="37">
        <f t="shared" ref="M86:N86" si="15">SUM(M69:M84)</f>
        <v>0</v>
      </c>
      <c r="N86" s="38">
        <f t="shared" si="15"/>
        <v>0</v>
      </c>
      <c r="O86" s="4"/>
    </row>
    <row r="87" spans="1:16" ht="15.75" customHeight="1" x14ac:dyDescent="0.25">
      <c r="B87" s="5"/>
      <c r="N87" s="33"/>
      <c r="O87" s="33"/>
    </row>
    <row r="88" spans="1:16" ht="15.75" customHeight="1" x14ac:dyDescent="0.25">
      <c r="A88" s="1"/>
      <c r="B88" s="2"/>
      <c r="C88" s="42" t="s">
        <v>52</v>
      </c>
      <c r="D88" s="43"/>
      <c r="E88" s="43"/>
      <c r="F88" s="43"/>
      <c r="G88" s="43"/>
      <c r="H88" s="43"/>
      <c r="I88" s="43"/>
      <c r="J88" s="43"/>
      <c r="K88" s="43"/>
      <c r="L88" s="43"/>
      <c r="M88" s="3"/>
      <c r="N88" s="3"/>
    </row>
    <row r="89" spans="1:16" ht="15.75" customHeight="1" x14ac:dyDescent="0.25">
      <c r="B89" s="5"/>
      <c r="C89" s="22" t="s">
        <v>4</v>
      </c>
      <c r="D89" s="22" t="s">
        <v>5</v>
      </c>
      <c r="E89" s="22" t="s">
        <v>6</v>
      </c>
      <c r="F89" s="22" t="s">
        <v>7</v>
      </c>
      <c r="G89" s="22" t="s">
        <v>8</v>
      </c>
      <c r="H89" s="22" t="s">
        <v>9</v>
      </c>
      <c r="I89" s="5" t="s">
        <v>10</v>
      </c>
      <c r="J89" s="22" t="s">
        <v>11</v>
      </c>
      <c r="K89" s="22" t="s">
        <v>12</v>
      </c>
      <c r="M89" s="17" t="s">
        <v>13</v>
      </c>
      <c r="N89" s="18" t="s">
        <v>14</v>
      </c>
      <c r="P89" s="14"/>
    </row>
    <row r="90" spans="1:16" ht="15.75" customHeight="1" x14ac:dyDescent="0.25">
      <c r="A90" s="14"/>
      <c r="B90" s="15">
        <v>1</v>
      </c>
      <c r="C90" s="14" t="s">
        <v>17</v>
      </c>
      <c r="D90" s="16"/>
      <c r="E90" s="16"/>
      <c r="F90" s="16"/>
      <c r="G90" s="16"/>
      <c r="H90" s="16"/>
      <c r="I90" s="16"/>
      <c r="J90" s="16"/>
      <c r="K90" s="16"/>
      <c r="L90" s="16"/>
      <c r="M90" s="17"/>
      <c r="N90" s="18">
        <f t="shared" ref="N90:N105" si="16">J90-M90</f>
        <v>0</v>
      </c>
      <c r="P90" s="14"/>
    </row>
    <row r="91" spans="1:16" ht="15.75" customHeight="1" x14ac:dyDescent="0.25">
      <c r="A91" s="14"/>
      <c r="B91" s="15">
        <v>2</v>
      </c>
      <c r="C91" s="14" t="s">
        <v>19</v>
      </c>
      <c r="D91" s="20"/>
      <c r="J91" s="22">
        <f t="shared" ref="J91:J105" si="17">SUM(D91:I91)</f>
        <v>0</v>
      </c>
      <c r="M91" s="17"/>
      <c r="N91" s="18">
        <f t="shared" si="16"/>
        <v>0</v>
      </c>
      <c r="P91" s="14"/>
    </row>
    <row r="92" spans="1:16" ht="15.75" customHeight="1" x14ac:dyDescent="0.25">
      <c r="A92" s="14"/>
      <c r="B92" s="15">
        <v>3</v>
      </c>
      <c r="C92" s="14" t="s">
        <v>24</v>
      </c>
      <c r="J92" s="22">
        <f t="shared" si="17"/>
        <v>0</v>
      </c>
      <c r="M92" s="17"/>
      <c r="N92" s="18">
        <f t="shared" si="16"/>
        <v>0</v>
      </c>
      <c r="P92" s="14"/>
    </row>
    <row r="93" spans="1:16" ht="15.75" customHeight="1" x14ac:dyDescent="0.25">
      <c r="A93" s="14"/>
      <c r="B93" s="15">
        <v>4</v>
      </c>
      <c r="C93" s="14" t="s">
        <v>26</v>
      </c>
      <c r="D93" s="35"/>
      <c r="J93" s="22">
        <f t="shared" si="17"/>
        <v>0</v>
      </c>
      <c r="M93" s="17"/>
      <c r="N93" s="18">
        <f t="shared" si="16"/>
        <v>0</v>
      </c>
      <c r="P93" s="14"/>
    </row>
    <row r="94" spans="1:16" ht="15.75" customHeight="1" x14ac:dyDescent="0.25">
      <c r="A94" s="14"/>
      <c r="B94" s="15">
        <v>5</v>
      </c>
      <c r="C94" s="14" t="s">
        <v>27</v>
      </c>
      <c r="D94" s="36"/>
      <c r="J94" s="39">
        <f t="shared" si="17"/>
        <v>0</v>
      </c>
      <c r="M94" s="17"/>
      <c r="N94" s="40">
        <f t="shared" si="16"/>
        <v>0</v>
      </c>
      <c r="P94" s="14"/>
    </row>
    <row r="95" spans="1:16" ht="15.75" customHeight="1" x14ac:dyDescent="0.25">
      <c r="A95" s="14"/>
      <c r="B95" s="15">
        <v>6</v>
      </c>
      <c r="C95" s="14" t="s">
        <v>29</v>
      </c>
      <c r="D95" s="20"/>
      <c r="J95" s="22">
        <f t="shared" si="17"/>
        <v>0</v>
      </c>
      <c r="M95" s="17"/>
      <c r="N95" s="18">
        <f t="shared" si="16"/>
        <v>0</v>
      </c>
      <c r="P95" s="14"/>
    </row>
    <row r="96" spans="1:16" ht="15.75" customHeight="1" x14ac:dyDescent="0.25">
      <c r="A96" s="14"/>
      <c r="B96" s="15">
        <v>7</v>
      </c>
      <c r="C96" s="14" t="s">
        <v>30</v>
      </c>
      <c r="D96" s="20"/>
      <c r="J96" s="22">
        <f t="shared" si="17"/>
        <v>0</v>
      </c>
      <c r="M96" s="17"/>
      <c r="N96" s="18">
        <f t="shared" si="16"/>
        <v>0</v>
      </c>
      <c r="P96" s="14"/>
    </row>
    <row r="97" spans="1:16" ht="15.75" customHeight="1" x14ac:dyDescent="0.25">
      <c r="A97" s="14"/>
      <c r="B97" s="15">
        <v>8</v>
      </c>
      <c r="C97" s="14" t="s">
        <v>31</v>
      </c>
      <c r="D97" s="20"/>
      <c r="J97" s="22">
        <f t="shared" si="17"/>
        <v>0</v>
      </c>
      <c r="M97" s="17"/>
      <c r="N97" s="18">
        <f t="shared" si="16"/>
        <v>0</v>
      </c>
      <c r="P97" s="14"/>
    </row>
    <row r="98" spans="1:16" ht="15.75" customHeight="1" x14ac:dyDescent="0.25">
      <c r="A98" s="14"/>
      <c r="B98" s="15">
        <v>9</v>
      </c>
      <c r="C98" s="14" t="s">
        <v>32</v>
      </c>
      <c r="J98" s="22">
        <f t="shared" si="17"/>
        <v>0</v>
      </c>
      <c r="M98" s="17"/>
      <c r="N98" s="18">
        <f t="shared" si="16"/>
        <v>0</v>
      </c>
      <c r="P98" s="14"/>
    </row>
    <row r="99" spans="1:16" ht="15.75" customHeight="1" x14ac:dyDescent="0.25">
      <c r="A99" s="14"/>
      <c r="B99" s="15">
        <v>10</v>
      </c>
      <c r="C99" s="14" t="s">
        <v>34</v>
      </c>
      <c r="D99" s="20"/>
      <c r="J99" s="22">
        <f t="shared" si="17"/>
        <v>0</v>
      </c>
      <c r="M99" s="17"/>
      <c r="N99" s="18">
        <f t="shared" si="16"/>
        <v>0</v>
      </c>
      <c r="P99" s="14"/>
    </row>
    <row r="100" spans="1:16" ht="15.75" customHeight="1" x14ac:dyDescent="0.25">
      <c r="A100" s="14"/>
      <c r="B100" s="15">
        <v>11</v>
      </c>
      <c r="C100" s="14" t="s">
        <v>35</v>
      </c>
      <c r="D100" s="20"/>
      <c r="J100" s="22">
        <f t="shared" si="17"/>
        <v>0</v>
      </c>
      <c r="M100" s="17"/>
      <c r="N100" s="18">
        <f t="shared" si="16"/>
        <v>0</v>
      </c>
    </row>
    <row r="101" spans="1:16" ht="15.75" customHeight="1" x14ac:dyDescent="0.25">
      <c r="A101" s="22"/>
      <c r="B101" s="5">
        <v>12</v>
      </c>
      <c r="C101" s="22" t="s">
        <v>36</v>
      </c>
      <c r="D101" s="35"/>
      <c r="J101" s="22">
        <f t="shared" si="17"/>
        <v>0</v>
      </c>
      <c r="M101" s="17"/>
      <c r="N101" s="18">
        <f t="shared" si="16"/>
        <v>0</v>
      </c>
    </row>
    <row r="102" spans="1:16" ht="15.75" customHeight="1" x14ac:dyDescent="0.25">
      <c r="A102" s="22"/>
      <c r="B102" s="5">
        <v>13</v>
      </c>
      <c r="C102" s="22" t="s">
        <v>38</v>
      </c>
      <c r="J102" s="22">
        <f t="shared" si="17"/>
        <v>0</v>
      </c>
      <c r="M102" s="17"/>
      <c r="N102" s="18">
        <f t="shared" si="16"/>
        <v>0</v>
      </c>
    </row>
    <row r="103" spans="1:16" ht="15.75" customHeight="1" x14ac:dyDescent="0.25">
      <c r="A103" s="22"/>
      <c r="B103" s="5">
        <v>14</v>
      </c>
      <c r="C103" s="22" t="s">
        <v>39</v>
      </c>
      <c r="D103" s="36"/>
      <c r="J103" s="39">
        <f t="shared" si="17"/>
        <v>0</v>
      </c>
      <c r="M103" s="17"/>
      <c r="N103" s="40">
        <f t="shared" si="16"/>
        <v>0</v>
      </c>
    </row>
    <row r="104" spans="1:16" ht="15.75" customHeight="1" x14ac:dyDescent="0.25">
      <c r="A104" s="22"/>
      <c r="B104" s="5">
        <v>15</v>
      </c>
      <c r="C104" s="22" t="s">
        <v>40</v>
      </c>
      <c r="J104" s="22">
        <f t="shared" si="17"/>
        <v>0</v>
      </c>
      <c r="M104" s="17"/>
      <c r="N104" s="18">
        <f t="shared" si="16"/>
        <v>0</v>
      </c>
    </row>
    <row r="105" spans="1:16" ht="15.75" customHeight="1" x14ac:dyDescent="0.25">
      <c r="A105" s="22"/>
      <c r="B105" s="5">
        <v>16</v>
      </c>
      <c r="C105" s="22" t="s">
        <v>41</v>
      </c>
      <c r="J105" s="22">
        <f t="shared" si="17"/>
        <v>0</v>
      </c>
      <c r="M105" s="17"/>
      <c r="N105" s="18">
        <f t="shared" si="16"/>
        <v>0</v>
      </c>
    </row>
    <row r="106" spans="1:16" ht="15.75" customHeight="1" x14ac:dyDescent="0.25">
      <c r="B106" s="5"/>
      <c r="M106" s="17"/>
      <c r="N106" s="18"/>
    </row>
    <row r="107" spans="1:16" ht="15.75" customHeight="1" x14ac:dyDescent="0.25">
      <c r="A107" s="5"/>
      <c r="B107" s="5"/>
      <c r="C107" s="5" t="s">
        <v>11</v>
      </c>
      <c r="D107" s="31">
        <f t="shared" ref="D107:J107" si="18">SUM(D91:D105)</f>
        <v>0</v>
      </c>
      <c r="E107" s="31">
        <f t="shared" si="18"/>
        <v>0</v>
      </c>
      <c r="F107" s="31">
        <f t="shared" si="18"/>
        <v>0</v>
      </c>
      <c r="G107" s="31">
        <f t="shared" si="18"/>
        <v>0</v>
      </c>
      <c r="H107" s="31">
        <f t="shared" si="18"/>
        <v>0</v>
      </c>
      <c r="I107" s="31">
        <f t="shared" si="18"/>
        <v>0</v>
      </c>
      <c r="J107" s="22">
        <f t="shared" si="18"/>
        <v>0</v>
      </c>
      <c r="M107" s="17">
        <f>SUM(M91:M105)</f>
        <v>0</v>
      </c>
      <c r="N107" s="18">
        <f>J107-M107</f>
        <v>0</v>
      </c>
    </row>
    <row r="108" spans="1:16" ht="15.75" customHeight="1" x14ac:dyDescent="0.25">
      <c r="B108" s="5"/>
      <c r="M108" s="41"/>
    </row>
    <row r="109" spans="1:16" ht="15.75" customHeight="1" x14ac:dyDescent="0.25">
      <c r="B109" s="5"/>
      <c r="D109" s="31"/>
    </row>
    <row r="110" spans="1:16" ht="15.75" customHeight="1" x14ac:dyDescent="0.25">
      <c r="B110" s="5"/>
      <c r="D110" s="31"/>
    </row>
    <row r="111" spans="1:16" ht="15.75" customHeight="1" x14ac:dyDescent="0.25">
      <c r="B111" s="5"/>
      <c r="D111" s="31"/>
    </row>
    <row r="112" spans="1:16" ht="15.75" customHeight="1" x14ac:dyDescent="0.25">
      <c r="B112" s="5"/>
      <c r="D112" s="31"/>
    </row>
    <row r="113" spans="2:4" ht="15.75" customHeight="1" x14ac:dyDescent="0.25">
      <c r="B113" s="5"/>
      <c r="D113" s="31"/>
    </row>
    <row r="114" spans="2:4" ht="15.75" customHeight="1" x14ac:dyDescent="0.25">
      <c r="B114" s="5"/>
      <c r="D114" s="31"/>
    </row>
    <row r="115" spans="2:4" ht="15.75" customHeight="1" x14ac:dyDescent="0.25">
      <c r="B115" s="5"/>
      <c r="D115" s="31"/>
    </row>
    <row r="116" spans="2:4" ht="15.75" customHeight="1" x14ac:dyDescent="0.25">
      <c r="B116" s="5"/>
      <c r="D116" s="31"/>
    </row>
    <row r="117" spans="2:4" ht="15.75" customHeight="1" x14ac:dyDescent="0.25">
      <c r="B117" s="5"/>
      <c r="D117" s="31"/>
    </row>
    <row r="118" spans="2:4" ht="15.75" customHeight="1" x14ac:dyDescent="0.25">
      <c r="B118" s="5"/>
      <c r="D118" s="31"/>
    </row>
    <row r="119" spans="2:4" ht="15.75" customHeight="1" x14ac:dyDescent="0.25">
      <c r="B119" s="5"/>
      <c r="D119" s="31"/>
    </row>
    <row r="120" spans="2:4" ht="15.75" customHeight="1" x14ac:dyDescent="0.25">
      <c r="B120" s="5"/>
      <c r="D120" s="31"/>
    </row>
    <row r="121" spans="2:4" ht="15.75" customHeight="1" x14ac:dyDescent="0.25">
      <c r="B121" s="5"/>
      <c r="D121" s="31"/>
    </row>
    <row r="122" spans="2:4" ht="15.75" customHeight="1" x14ac:dyDescent="0.25">
      <c r="B122" s="5"/>
      <c r="D122" s="31"/>
    </row>
    <row r="123" spans="2:4" ht="15.75" customHeight="1" x14ac:dyDescent="0.25">
      <c r="B123" s="5"/>
      <c r="D123" s="31"/>
    </row>
    <row r="124" spans="2:4" ht="15.75" customHeight="1" x14ac:dyDescent="0.25">
      <c r="B124" s="5"/>
      <c r="D124" s="31"/>
    </row>
    <row r="125" spans="2:4" ht="15.75" customHeight="1" x14ac:dyDescent="0.25">
      <c r="B125" s="5"/>
      <c r="D125" s="31"/>
    </row>
    <row r="126" spans="2:4" ht="15.75" customHeight="1" x14ac:dyDescent="0.25">
      <c r="B126" s="5"/>
      <c r="D126" s="31"/>
    </row>
    <row r="127" spans="2:4" ht="15.75" customHeight="1" x14ac:dyDescent="0.25">
      <c r="B127" s="5"/>
      <c r="D127" s="31"/>
    </row>
    <row r="128" spans="2:4" ht="15.75" customHeight="1" x14ac:dyDescent="0.25">
      <c r="B128" s="5"/>
      <c r="D128" s="31"/>
    </row>
    <row r="129" spans="2:4" ht="15.75" customHeight="1" x14ac:dyDescent="0.25">
      <c r="B129" s="5"/>
      <c r="D129" s="31"/>
    </row>
    <row r="130" spans="2:4" ht="15.75" customHeight="1" x14ac:dyDescent="0.25">
      <c r="B130" s="5"/>
      <c r="D130" s="31"/>
    </row>
    <row r="131" spans="2:4" ht="15.75" customHeight="1" x14ac:dyDescent="0.25">
      <c r="B131" s="5"/>
      <c r="D131" s="31"/>
    </row>
    <row r="132" spans="2:4" ht="15.75" customHeight="1" x14ac:dyDescent="0.25">
      <c r="B132" s="5"/>
      <c r="D132" s="31"/>
    </row>
    <row r="133" spans="2:4" ht="15.75" customHeight="1" x14ac:dyDescent="0.25">
      <c r="B133" s="5"/>
      <c r="D133" s="31"/>
    </row>
    <row r="134" spans="2:4" ht="15.75" customHeight="1" x14ac:dyDescent="0.25">
      <c r="B134" s="5"/>
      <c r="D134" s="31"/>
    </row>
    <row r="135" spans="2:4" ht="15.75" customHeight="1" x14ac:dyDescent="0.25">
      <c r="B135" s="5"/>
      <c r="D135" s="31"/>
    </row>
    <row r="136" spans="2:4" ht="15.75" customHeight="1" x14ac:dyDescent="0.25">
      <c r="B136" s="5"/>
      <c r="D136" s="31"/>
    </row>
    <row r="137" spans="2:4" ht="15.75" customHeight="1" x14ac:dyDescent="0.25">
      <c r="B137" s="5"/>
      <c r="D137" s="31"/>
    </row>
    <row r="138" spans="2:4" ht="15.75" customHeight="1" x14ac:dyDescent="0.25">
      <c r="B138" s="5"/>
      <c r="D138" s="31"/>
    </row>
    <row r="139" spans="2:4" ht="15.75" customHeight="1" x14ac:dyDescent="0.25">
      <c r="B139" s="5"/>
      <c r="D139" s="31"/>
    </row>
    <row r="140" spans="2:4" ht="15.75" customHeight="1" x14ac:dyDescent="0.25">
      <c r="B140" s="5"/>
      <c r="D140" s="31"/>
    </row>
    <row r="141" spans="2:4" ht="15.75" customHeight="1" x14ac:dyDescent="0.25">
      <c r="B141" s="5"/>
      <c r="D141" s="31"/>
    </row>
    <row r="142" spans="2:4" ht="15.75" customHeight="1" x14ac:dyDescent="0.25">
      <c r="B142" s="5"/>
      <c r="D142" s="31"/>
    </row>
    <row r="143" spans="2:4" ht="15.75" customHeight="1" x14ac:dyDescent="0.25">
      <c r="B143" s="5"/>
      <c r="D143" s="31"/>
    </row>
    <row r="144" spans="2:4" ht="15.75" customHeight="1" x14ac:dyDescent="0.25">
      <c r="B144" s="5"/>
      <c r="D144" s="31"/>
    </row>
    <row r="145" spans="2:4" ht="15.75" customHeight="1" x14ac:dyDescent="0.25">
      <c r="B145" s="5"/>
      <c r="D145" s="31"/>
    </row>
    <row r="146" spans="2:4" ht="15.75" customHeight="1" x14ac:dyDescent="0.25">
      <c r="B146" s="5"/>
      <c r="D146" s="31"/>
    </row>
    <row r="147" spans="2:4" ht="15.75" customHeight="1" x14ac:dyDescent="0.25">
      <c r="B147" s="5"/>
      <c r="D147" s="31"/>
    </row>
    <row r="148" spans="2:4" ht="15.75" customHeight="1" x14ac:dyDescent="0.25">
      <c r="B148" s="5"/>
      <c r="D148" s="31"/>
    </row>
    <row r="149" spans="2:4" ht="15.75" customHeight="1" x14ac:dyDescent="0.25">
      <c r="B149" s="5"/>
      <c r="D149" s="31"/>
    </row>
    <row r="150" spans="2:4" ht="15.75" customHeight="1" x14ac:dyDescent="0.25">
      <c r="B150" s="5"/>
      <c r="D150" s="31"/>
    </row>
    <row r="151" spans="2:4" ht="15.75" customHeight="1" x14ac:dyDescent="0.25">
      <c r="B151" s="5"/>
      <c r="D151" s="31"/>
    </row>
    <row r="152" spans="2:4" ht="15.75" customHeight="1" x14ac:dyDescent="0.25">
      <c r="B152" s="5"/>
      <c r="D152" s="31"/>
    </row>
    <row r="153" spans="2:4" ht="15.75" customHeight="1" x14ac:dyDescent="0.25">
      <c r="B153" s="5"/>
      <c r="D153" s="31"/>
    </row>
    <row r="154" spans="2:4" ht="15.75" customHeight="1" x14ac:dyDescent="0.25">
      <c r="B154" s="5"/>
      <c r="D154" s="31"/>
    </row>
    <row r="155" spans="2:4" ht="15.75" customHeight="1" x14ac:dyDescent="0.25">
      <c r="B155" s="5"/>
      <c r="D155" s="31"/>
    </row>
    <row r="156" spans="2:4" ht="15.75" customHeight="1" x14ac:dyDescent="0.25">
      <c r="B156" s="5"/>
      <c r="D156" s="31"/>
    </row>
    <row r="157" spans="2:4" ht="15.75" customHeight="1" x14ac:dyDescent="0.25">
      <c r="B157" s="5"/>
      <c r="D157" s="31"/>
    </row>
    <row r="158" spans="2:4" ht="15.75" customHeight="1" x14ac:dyDescent="0.25">
      <c r="B158" s="5"/>
      <c r="D158" s="31"/>
    </row>
    <row r="159" spans="2:4" ht="15.75" customHeight="1" x14ac:dyDescent="0.25">
      <c r="B159" s="5"/>
      <c r="D159" s="31"/>
    </row>
    <row r="160" spans="2:4" ht="15.75" customHeight="1" x14ac:dyDescent="0.25">
      <c r="B160" s="5"/>
      <c r="D160" s="31"/>
    </row>
    <row r="161" spans="2:4" ht="15.75" customHeight="1" x14ac:dyDescent="0.25">
      <c r="B161" s="5"/>
      <c r="D161" s="31"/>
    </row>
    <row r="162" spans="2:4" ht="15.75" customHeight="1" x14ac:dyDescent="0.25">
      <c r="B162" s="5"/>
      <c r="D162" s="31"/>
    </row>
    <row r="163" spans="2:4" ht="15.75" customHeight="1" x14ac:dyDescent="0.25">
      <c r="B163" s="5"/>
      <c r="D163" s="31"/>
    </row>
    <row r="164" spans="2:4" ht="15.75" customHeight="1" x14ac:dyDescent="0.25">
      <c r="B164" s="5"/>
      <c r="D164" s="31"/>
    </row>
    <row r="165" spans="2:4" ht="15.75" customHeight="1" x14ac:dyDescent="0.25">
      <c r="B165" s="5"/>
      <c r="D165" s="31"/>
    </row>
    <row r="166" spans="2:4" ht="15.75" customHeight="1" x14ac:dyDescent="0.25">
      <c r="B166" s="5"/>
      <c r="D166" s="31"/>
    </row>
    <row r="167" spans="2:4" ht="15.75" customHeight="1" x14ac:dyDescent="0.25">
      <c r="B167" s="5"/>
      <c r="D167" s="31"/>
    </row>
    <row r="168" spans="2:4" ht="15.75" customHeight="1" x14ac:dyDescent="0.25">
      <c r="B168" s="5"/>
      <c r="D168" s="31"/>
    </row>
    <row r="169" spans="2:4" ht="15.75" customHeight="1" x14ac:dyDescent="0.25">
      <c r="B169" s="5"/>
      <c r="D169" s="31"/>
    </row>
    <row r="170" spans="2:4" ht="15.75" customHeight="1" x14ac:dyDescent="0.25">
      <c r="B170" s="5"/>
      <c r="D170" s="31"/>
    </row>
    <row r="171" spans="2:4" ht="15.75" customHeight="1" x14ac:dyDescent="0.25">
      <c r="B171" s="5"/>
      <c r="D171" s="31"/>
    </row>
    <row r="172" spans="2:4" ht="15.75" customHeight="1" x14ac:dyDescent="0.25">
      <c r="B172" s="5"/>
      <c r="D172" s="31"/>
    </row>
    <row r="173" spans="2:4" ht="15.75" customHeight="1" x14ac:dyDescent="0.25">
      <c r="B173" s="5"/>
      <c r="D173" s="31"/>
    </row>
    <row r="174" spans="2:4" ht="15.75" customHeight="1" x14ac:dyDescent="0.25">
      <c r="B174" s="5"/>
      <c r="D174" s="31"/>
    </row>
    <row r="175" spans="2:4" ht="15.75" customHeight="1" x14ac:dyDescent="0.25">
      <c r="B175" s="5"/>
      <c r="D175" s="31"/>
    </row>
    <row r="176" spans="2:4" ht="15.75" customHeight="1" x14ac:dyDescent="0.25">
      <c r="B176" s="5"/>
      <c r="D176" s="31"/>
    </row>
    <row r="177" spans="2:4" ht="15.75" customHeight="1" x14ac:dyDescent="0.25">
      <c r="B177" s="5"/>
      <c r="D177" s="31"/>
    </row>
    <row r="178" spans="2:4" ht="15.75" customHeight="1" x14ac:dyDescent="0.25">
      <c r="B178" s="5"/>
      <c r="D178" s="31"/>
    </row>
    <row r="179" spans="2:4" ht="15.75" customHeight="1" x14ac:dyDescent="0.25">
      <c r="B179" s="5"/>
      <c r="D179" s="31"/>
    </row>
    <row r="180" spans="2:4" ht="15.75" customHeight="1" x14ac:dyDescent="0.25">
      <c r="B180" s="5"/>
      <c r="D180" s="31"/>
    </row>
    <row r="181" spans="2:4" ht="15.75" customHeight="1" x14ac:dyDescent="0.25">
      <c r="B181" s="5"/>
      <c r="D181" s="31"/>
    </row>
    <row r="182" spans="2:4" ht="15.75" customHeight="1" x14ac:dyDescent="0.25">
      <c r="B182" s="5"/>
      <c r="D182" s="31"/>
    </row>
    <row r="183" spans="2:4" ht="15.75" customHeight="1" x14ac:dyDescent="0.25">
      <c r="B183" s="5"/>
      <c r="D183" s="31"/>
    </row>
    <row r="184" spans="2:4" ht="15.75" customHeight="1" x14ac:dyDescent="0.25">
      <c r="B184" s="5"/>
      <c r="D184" s="31"/>
    </row>
    <row r="185" spans="2:4" ht="15.75" customHeight="1" x14ac:dyDescent="0.25">
      <c r="B185" s="5"/>
      <c r="D185" s="31"/>
    </row>
    <row r="186" spans="2:4" ht="15.75" customHeight="1" x14ac:dyDescent="0.25">
      <c r="B186" s="5"/>
      <c r="D186" s="31"/>
    </row>
    <row r="187" spans="2:4" ht="15.75" customHeight="1" x14ac:dyDescent="0.25">
      <c r="B187" s="5"/>
      <c r="D187" s="31"/>
    </row>
    <row r="188" spans="2:4" ht="15.75" customHeight="1" x14ac:dyDescent="0.25">
      <c r="B188" s="5"/>
      <c r="D188" s="31"/>
    </row>
    <row r="189" spans="2:4" ht="15.75" customHeight="1" x14ac:dyDescent="0.25">
      <c r="B189" s="5"/>
      <c r="D189" s="31"/>
    </row>
    <row r="190" spans="2:4" ht="15.75" customHeight="1" x14ac:dyDescent="0.25">
      <c r="B190" s="5"/>
      <c r="D190" s="31"/>
    </row>
    <row r="191" spans="2:4" ht="15.75" customHeight="1" x14ac:dyDescent="0.25">
      <c r="B191" s="5"/>
      <c r="D191" s="31"/>
    </row>
    <row r="192" spans="2:4" ht="15.75" customHeight="1" x14ac:dyDescent="0.25">
      <c r="B192" s="5"/>
      <c r="D192" s="31"/>
    </row>
    <row r="193" spans="2:4" ht="15.75" customHeight="1" x14ac:dyDescent="0.25">
      <c r="B193" s="5"/>
      <c r="D193" s="31"/>
    </row>
    <row r="194" spans="2:4" ht="15.75" customHeight="1" x14ac:dyDescent="0.25">
      <c r="B194" s="5"/>
      <c r="D194" s="31"/>
    </row>
    <row r="195" spans="2:4" ht="15.75" customHeight="1" x14ac:dyDescent="0.25">
      <c r="B195" s="5"/>
      <c r="D195" s="31"/>
    </row>
    <row r="196" spans="2:4" ht="15.75" customHeight="1" x14ac:dyDescent="0.25">
      <c r="B196" s="5"/>
      <c r="D196" s="31"/>
    </row>
    <row r="197" spans="2:4" ht="15.75" customHeight="1" x14ac:dyDescent="0.25">
      <c r="B197" s="5"/>
      <c r="D197" s="31"/>
    </row>
    <row r="198" spans="2:4" ht="15.75" customHeight="1" x14ac:dyDescent="0.25">
      <c r="B198" s="5"/>
      <c r="D198" s="31"/>
    </row>
    <row r="199" spans="2:4" ht="15.75" customHeight="1" x14ac:dyDescent="0.25">
      <c r="B199" s="5"/>
      <c r="D199" s="31"/>
    </row>
    <row r="200" spans="2:4" ht="15.75" customHeight="1" x14ac:dyDescent="0.25">
      <c r="B200" s="5"/>
      <c r="D200" s="31"/>
    </row>
    <row r="201" spans="2:4" ht="15.75" customHeight="1" x14ac:dyDescent="0.25">
      <c r="B201" s="5"/>
      <c r="D201" s="31"/>
    </row>
    <row r="202" spans="2:4" ht="15.75" customHeight="1" x14ac:dyDescent="0.25">
      <c r="B202" s="5"/>
      <c r="D202" s="31"/>
    </row>
    <row r="203" spans="2:4" ht="15.75" customHeight="1" x14ac:dyDescent="0.25">
      <c r="B203" s="5"/>
      <c r="D203" s="31"/>
    </row>
    <row r="204" spans="2:4" ht="15.75" customHeight="1" x14ac:dyDescent="0.25">
      <c r="B204" s="5"/>
      <c r="D204" s="31"/>
    </row>
    <row r="205" spans="2:4" ht="15.75" customHeight="1" x14ac:dyDescent="0.25">
      <c r="B205" s="5"/>
      <c r="D205" s="31"/>
    </row>
    <row r="206" spans="2:4" ht="15.75" customHeight="1" x14ac:dyDescent="0.25">
      <c r="B206" s="5"/>
      <c r="D206" s="31"/>
    </row>
    <row r="207" spans="2:4" ht="15.75" customHeight="1" x14ac:dyDescent="0.25">
      <c r="B207" s="5"/>
      <c r="D207" s="31"/>
    </row>
    <row r="208" spans="2:4" ht="15.75" customHeight="1" x14ac:dyDescent="0.25">
      <c r="B208" s="5"/>
      <c r="D208" s="31"/>
    </row>
    <row r="209" spans="2:4" ht="15.75" customHeight="1" x14ac:dyDescent="0.25">
      <c r="B209" s="5"/>
      <c r="D209" s="31"/>
    </row>
    <row r="210" spans="2:4" ht="15.75" customHeight="1" x14ac:dyDescent="0.25">
      <c r="B210" s="5"/>
      <c r="D210" s="31"/>
    </row>
    <row r="211" spans="2:4" ht="15.75" customHeight="1" x14ac:dyDescent="0.25">
      <c r="B211" s="5"/>
      <c r="D211" s="31"/>
    </row>
    <row r="212" spans="2:4" ht="15.75" customHeight="1" x14ac:dyDescent="0.25">
      <c r="B212" s="5"/>
      <c r="D212" s="31"/>
    </row>
    <row r="213" spans="2:4" ht="15.75" customHeight="1" x14ac:dyDescent="0.25">
      <c r="B213" s="5"/>
      <c r="D213" s="31"/>
    </row>
    <row r="214" spans="2:4" ht="15.75" customHeight="1" x14ac:dyDescent="0.25">
      <c r="B214" s="5"/>
      <c r="D214" s="31"/>
    </row>
    <row r="215" spans="2:4" ht="15.75" customHeight="1" x14ac:dyDescent="0.25">
      <c r="B215" s="5"/>
      <c r="D215" s="31"/>
    </row>
    <row r="216" spans="2:4" ht="15.75" customHeight="1" x14ac:dyDescent="0.25">
      <c r="B216" s="5"/>
      <c r="D216" s="31"/>
    </row>
    <row r="217" spans="2:4" ht="15.75" customHeight="1" x14ac:dyDescent="0.25">
      <c r="B217" s="5"/>
      <c r="D217" s="31"/>
    </row>
    <row r="218" spans="2:4" ht="15.75" customHeight="1" x14ac:dyDescent="0.25">
      <c r="B218" s="5"/>
      <c r="D218" s="31"/>
    </row>
    <row r="219" spans="2:4" ht="15.75" customHeight="1" x14ac:dyDescent="0.25">
      <c r="B219" s="5"/>
      <c r="D219" s="31"/>
    </row>
    <row r="220" spans="2:4" ht="15.75" customHeight="1" x14ac:dyDescent="0.25">
      <c r="B220" s="5"/>
      <c r="D220" s="31"/>
    </row>
    <row r="221" spans="2:4" ht="15.75" customHeight="1" x14ac:dyDescent="0.25">
      <c r="B221" s="5"/>
      <c r="D221" s="31"/>
    </row>
    <row r="222" spans="2:4" ht="15.75" customHeight="1" x14ac:dyDescent="0.25">
      <c r="B222" s="5"/>
      <c r="D222" s="31"/>
    </row>
    <row r="223" spans="2:4" ht="15.75" customHeight="1" x14ac:dyDescent="0.25">
      <c r="B223" s="5"/>
      <c r="D223" s="31"/>
    </row>
    <row r="224" spans="2:4" ht="15.75" customHeight="1" x14ac:dyDescent="0.25">
      <c r="B224" s="5"/>
      <c r="D224" s="31"/>
    </row>
    <row r="225" spans="2:4" ht="15.75" customHeight="1" x14ac:dyDescent="0.25">
      <c r="B225" s="5"/>
      <c r="D225" s="31"/>
    </row>
    <row r="226" spans="2:4" ht="15.75" customHeight="1" x14ac:dyDescent="0.25">
      <c r="B226" s="5"/>
      <c r="D226" s="31"/>
    </row>
    <row r="227" spans="2:4" ht="15.75" customHeight="1" x14ac:dyDescent="0.25">
      <c r="B227" s="5"/>
      <c r="D227" s="31"/>
    </row>
    <row r="228" spans="2:4" ht="15.75" customHeight="1" x14ac:dyDescent="0.25">
      <c r="B228" s="5"/>
      <c r="D228" s="31"/>
    </row>
    <row r="229" spans="2:4" ht="15.75" customHeight="1" x14ac:dyDescent="0.25">
      <c r="B229" s="5"/>
      <c r="D229" s="31"/>
    </row>
    <row r="230" spans="2:4" ht="15.75" customHeight="1" x14ac:dyDescent="0.25">
      <c r="B230" s="5"/>
      <c r="D230" s="31"/>
    </row>
    <row r="231" spans="2:4" ht="15.75" customHeight="1" x14ac:dyDescent="0.25">
      <c r="B231" s="5"/>
      <c r="D231" s="31"/>
    </row>
    <row r="232" spans="2:4" ht="15.75" customHeight="1" x14ac:dyDescent="0.25">
      <c r="B232" s="5"/>
      <c r="D232" s="31"/>
    </row>
    <row r="233" spans="2:4" ht="15.75" customHeight="1" x14ac:dyDescent="0.25">
      <c r="B233" s="5"/>
      <c r="D233" s="31"/>
    </row>
    <row r="234" spans="2:4" ht="15.75" customHeight="1" x14ac:dyDescent="0.25">
      <c r="B234" s="5"/>
      <c r="D234" s="31"/>
    </row>
    <row r="235" spans="2:4" ht="15.75" customHeight="1" x14ac:dyDescent="0.25">
      <c r="B235" s="5"/>
      <c r="D235" s="31"/>
    </row>
    <row r="236" spans="2:4" ht="15.75" customHeight="1" x14ac:dyDescent="0.25">
      <c r="B236" s="5"/>
      <c r="D236" s="31"/>
    </row>
    <row r="237" spans="2:4" ht="15.75" customHeight="1" x14ac:dyDescent="0.25">
      <c r="B237" s="5"/>
      <c r="D237" s="31"/>
    </row>
    <row r="238" spans="2:4" ht="15.75" customHeight="1" x14ac:dyDescent="0.25">
      <c r="B238" s="5"/>
      <c r="D238" s="31"/>
    </row>
    <row r="239" spans="2:4" ht="15.75" customHeight="1" x14ac:dyDescent="0.25">
      <c r="B239" s="5"/>
      <c r="D239" s="31"/>
    </row>
    <row r="240" spans="2:4" ht="15.75" customHeight="1" x14ac:dyDescent="0.25">
      <c r="B240" s="5"/>
      <c r="D240" s="31"/>
    </row>
    <row r="241" spans="2:4" ht="15.75" customHeight="1" x14ac:dyDescent="0.25">
      <c r="B241" s="5"/>
      <c r="D241" s="31"/>
    </row>
    <row r="242" spans="2:4" ht="15.75" customHeight="1" x14ac:dyDescent="0.25">
      <c r="B242" s="5"/>
      <c r="D242" s="31"/>
    </row>
    <row r="243" spans="2:4" ht="15.75" customHeight="1" x14ac:dyDescent="0.25">
      <c r="B243" s="5"/>
      <c r="D243" s="31"/>
    </row>
    <row r="244" spans="2:4" ht="15.75" customHeight="1" x14ac:dyDescent="0.25">
      <c r="B244" s="5"/>
      <c r="D244" s="31"/>
    </row>
    <row r="245" spans="2:4" ht="15.75" customHeight="1" x14ac:dyDescent="0.25">
      <c r="B245" s="5"/>
      <c r="D245" s="31"/>
    </row>
    <row r="246" spans="2:4" ht="15.75" customHeight="1" x14ac:dyDescent="0.25">
      <c r="B246" s="5"/>
      <c r="D246" s="31"/>
    </row>
    <row r="247" spans="2:4" ht="15.75" customHeight="1" x14ac:dyDescent="0.25">
      <c r="B247" s="5"/>
      <c r="D247" s="31"/>
    </row>
    <row r="248" spans="2:4" ht="15.75" customHeight="1" x14ac:dyDescent="0.25">
      <c r="B248" s="5"/>
      <c r="D248" s="31"/>
    </row>
    <row r="249" spans="2:4" ht="15.75" customHeight="1" x14ac:dyDescent="0.25">
      <c r="B249" s="5"/>
      <c r="D249" s="31"/>
    </row>
    <row r="250" spans="2:4" ht="15.75" customHeight="1" x14ac:dyDescent="0.25">
      <c r="B250" s="5"/>
      <c r="D250" s="31"/>
    </row>
    <row r="251" spans="2:4" ht="15.75" customHeight="1" x14ac:dyDescent="0.25">
      <c r="B251" s="5"/>
      <c r="D251" s="31"/>
    </row>
    <row r="252" spans="2:4" ht="15.75" customHeight="1" x14ac:dyDescent="0.25">
      <c r="B252" s="5"/>
      <c r="D252" s="31"/>
    </row>
    <row r="253" spans="2:4" ht="15.75" customHeight="1" x14ac:dyDescent="0.25">
      <c r="B253" s="5"/>
      <c r="D253" s="31"/>
    </row>
    <row r="254" spans="2:4" ht="15.75" customHeight="1" x14ac:dyDescent="0.25">
      <c r="B254" s="5"/>
      <c r="D254" s="31"/>
    </row>
    <row r="255" spans="2:4" ht="15.75" customHeight="1" x14ac:dyDescent="0.25">
      <c r="B255" s="5"/>
      <c r="D255" s="31"/>
    </row>
    <row r="256" spans="2:4" ht="15.75" customHeight="1" x14ac:dyDescent="0.25">
      <c r="B256" s="5"/>
      <c r="D256" s="31"/>
    </row>
    <row r="257" spans="2:4" ht="15.75" customHeight="1" x14ac:dyDescent="0.25">
      <c r="B257" s="5"/>
      <c r="D257" s="31"/>
    </row>
    <row r="258" spans="2:4" ht="15.75" customHeight="1" x14ac:dyDescent="0.25">
      <c r="B258" s="5"/>
      <c r="D258" s="31"/>
    </row>
    <row r="259" spans="2:4" ht="15.75" customHeight="1" x14ac:dyDescent="0.25">
      <c r="B259" s="5"/>
      <c r="D259" s="31"/>
    </row>
    <row r="260" spans="2:4" ht="15.75" customHeight="1" x14ac:dyDescent="0.25">
      <c r="B260" s="5"/>
      <c r="D260" s="31"/>
    </row>
    <row r="261" spans="2:4" ht="15.75" customHeight="1" x14ac:dyDescent="0.25">
      <c r="B261" s="5"/>
      <c r="D261" s="31"/>
    </row>
    <row r="262" spans="2:4" ht="15.75" customHeight="1" x14ac:dyDescent="0.25">
      <c r="B262" s="5"/>
      <c r="D262" s="31"/>
    </row>
    <row r="263" spans="2:4" ht="15.75" customHeight="1" x14ac:dyDescent="0.25">
      <c r="B263" s="5"/>
      <c r="D263" s="31"/>
    </row>
    <row r="264" spans="2:4" ht="15.75" customHeight="1" x14ac:dyDescent="0.25">
      <c r="B264" s="5"/>
      <c r="D264" s="31"/>
    </row>
    <row r="265" spans="2:4" ht="15.75" customHeight="1" x14ac:dyDescent="0.25">
      <c r="B265" s="5"/>
      <c r="D265" s="31"/>
    </row>
    <row r="266" spans="2:4" ht="15.75" customHeight="1" x14ac:dyDescent="0.25">
      <c r="B266" s="5"/>
      <c r="D266" s="31"/>
    </row>
    <row r="267" spans="2:4" ht="15.75" customHeight="1" x14ac:dyDescent="0.25">
      <c r="B267" s="5"/>
      <c r="D267" s="31"/>
    </row>
    <row r="268" spans="2:4" ht="15.75" customHeight="1" x14ac:dyDescent="0.25">
      <c r="B268" s="5"/>
      <c r="D268" s="31"/>
    </row>
    <row r="269" spans="2:4" ht="15.75" customHeight="1" x14ac:dyDescent="0.25">
      <c r="B269" s="5"/>
      <c r="D269" s="31"/>
    </row>
    <row r="270" spans="2:4" ht="15.75" customHeight="1" x14ac:dyDescent="0.25">
      <c r="B270" s="5"/>
      <c r="D270" s="31"/>
    </row>
    <row r="271" spans="2:4" ht="15.75" customHeight="1" x14ac:dyDescent="0.25">
      <c r="B271" s="5"/>
      <c r="D271" s="31"/>
    </row>
    <row r="272" spans="2:4" ht="15.75" customHeight="1" x14ac:dyDescent="0.25">
      <c r="B272" s="5"/>
      <c r="D272" s="31"/>
    </row>
    <row r="273" spans="2:4" ht="15.75" customHeight="1" x14ac:dyDescent="0.25">
      <c r="B273" s="5"/>
      <c r="D273" s="31"/>
    </row>
    <row r="274" spans="2:4" ht="15.75" customHeight="1" x14ac:dyDescent="0.25">
      <c r="B274" s="5"/>
      <c r="D274" s="31"/>
    </row>
    <row r="275" spans="2:4" ht="15.75" customHeight="1" x14ac:dyDescent="0.25">
      <c r="B275" s="5"/>
      <c r="D275" s="31"/>
    </row>
    <row r="276" spans="2:4" ht="15.75" customHeight="1" x14ac:dyDescent="0.25">
      <c r="B276" s="5"/>
      <c r="D276" s="31"/>
    </row>
    <row r="277" spans="2:4" ht="15.75" customHeight="1" x14ac:dyDescent="0.25">
      <c r="B277" s="5"/>
      <c r="D277" s="31"/>
    </row>
    <row r="278" spans="2:4" ht="15.75" customHeight="1" x14ac:dyDescent="0.25">
      <c r="B278" s="5"/>
      <c r="D278" s="31"/>
    </row>
    <row r="279" spans="2:4" ht="15.75" customHeight="1" x14ac:dyDescent="0.25">
      <c r="B279" s="5"/>
      <c r="D279" s="31"/>
    </row>
    <row r="280" spans="2:4" ht="15.75" customHeight="1" x14ac:dyDescent="0.25">
      <c r="B280" s="5"/>
      <c r="D280" s="31"/>
    </row>
    <row r="281" spans="2:4" ht="15.75" customHeight="1" x14ac:dyDescent="0.25">
      <c r="B281" s="5"/>
      <c r="D281" s="31"/>
    </row>
    <row r="282" spans="2:4" ht="15.75" customHeight="1" x14ac:dyDescent="0.25">
      <c r="B282" s="5"/>
      <c r="D282" s="31"/>
    </row>
    <row r="283" spans="2:4" ht="15.75" customHeight="1" x14ac:dyDescent="0.25">
      <c r="B283" s="5"/>
      <c r="D283" s="31"/>
    </row>
    <row r="284" spans="2:4" ht="15.75" customHeight="1" x14ac:dyDescent="0.25">
      <c r="B284" s="5"/>
      <c r="D284" s="31"/>
    </row>
    <row r="285" spans="2:4" ht="15.75" customHeight="1" x14ac:dyDescent="0.25">
      <c r="B285" s="5"/>
      <c r="D285" s="31"/>
    </row>
    <row r="286" spans="2:4" ht="15.75" customHeight="1" x14ac:dyDescent="0.25">
      <c r="B286" s="5"/>
      <c r="D286" s="31"/>
    </row>
    <row r="287" spans="2:4" ht="15.75" customHeight="1" x14ac:dyDescent="0.25">
      <c r="B287" s="5"/>
      <c r="D287" s="31"/>
    </row>
    <row r="288" spans="2:4" ht="15.75" customHeight="1" x14ac:dyDescent="0.25">
      <c r="B288" s="5"/>
      <c r="D288" s="31"/>
    </row>
    <row r="289" spans="2:4" ht="15.75" customHeight="1" x14ac:dyDescent="0.25">
      <c r="B289" s="5"/>
      <c r="D289" s="31"/>
    </row>
    <row r="290" spans="2:4" ht="15.75" customHeight="1" x14ac:dyDescent="0.25">
      <c r="B290" s="5"/>
      <c r="D290" s="31"/>
    </row>
    <row r="291" spans="2:4" ht="15.75" customHeight="1" x14ac:dyDescent="0.25">
      <c r="B291" s="5"/>
      <c r="D291" s="31"/>
    </row>
    <row r="292" spans="2:4" ht="15.75" customHeight="1" x14ac:dyDescent="0.25">
      <c r="B292" s="5"/>
      <c r="D292" s="31"/>
    </row>
    <row r="293" spans="2:4" ht="15.75" customHeight="1" x14ac:dyDescent="0.25">
      <c r="B293" s="5"/>
      <c r="D293" s="31"/>
    </row>
    <row r="294" spans="2:4" ht="15.75" customHeight="1" x14ac:dyDescent="0.25">
      <c r="B294" s="5"/>
      <c r="D294" s="31"/>
    </row>
    <row r="295" spans="2:4" ht="15.75" customHeight="1" x14ac:dyDescent="0.25">
      <c r="B295" s="5"/>
      <c r="D295" s="31"/>
    </row>
    <row r="296" spans="2:4" ht="15.75" customHeight="1" x14ac:dyDescent="0.25">
      <c r="B296" s="5"/>
      <c r="D296" s="31"/>
    </row>
    <row r="297" spans="2:4" ht="15.75" customHeight="1" x14ac:dyDescent="0.25">
      <c r="B297" s="5"/>
      <c r="D297" s="31"/>
    </row>
    <row r="298" spans="2:4" ht="15.75" customHeight="1" x14ac:dyDescent="0.25">
      <c r="B298" s="5"/>
      <c r="D298" s="31"/>
    </row>
    <row r="299" spans="2:4" ht="15.75" customHeight="1" x14ac:dyDescent="0.25">
      <c r="B299" s="5"/>
      <c r="D299" s="31"/>
    </row>
    <row r="300" spans="2:4" ht="15.75" customHeight="1" x14ac:dyDescent="0.25">
      <c r="B300" s="5"/>
      <c r="D300" s="31"/>
    </row>
    <row r="301" spans="2:4" ht="15.75" customHeight="1" x14ac:dyDescent="0.25">
      <c r="B301" s="5"/>
      <c r="D301" s="31"/>
    </row>
    <row r="302" spans="2:4" ht="15.75" customHeight="1" x14ac:dyDescent="0.25">
      <c r="B302" s="5"/>
      <c r="D302" s="31"/>
    </row>
    <row r="303" spans="2:4" ht="15.75" customHeight="1" x14ac:dyDescent="0.25">
      <c r="B303" s="5"/>
      <c r="D303" s="31"/>
    </row>
    <row r="304" spans="2:4" ht="15.75" customHeight="1" x14ac:dyDescent="0.25">
      <c r="B304" s="5"/>
      <c r="D304" s="31"/>
    </row>
    <row r="305" spans="2:4" ht="15.75" customHeight="1" x14ac:dyDescent="0.25">
      <c r="B305" s="5"/>
      <c r="D305" s="31"/>
    </row>
    <row r="306" spans="2:4" ht="15.75" customHeight="1" x14ac:dyDescent="0.25">
      <c r="B306" s="5"/>
      <c r="D306" s="31"/>
    </row>
    <row r="307" spans="2:4" ht="15.75" customHeight="1" x14ac:dyDescent="0.25">
      <c r="B307" s="5"/>
      <c r="D307" s="31"/>
    </row>
    <row r="308" spans="2:4" ht="15.75" customHeight="1" x14ac:dyDescent="0.25">
      <c r="B308" s="5"/>
      <c r="D308" s="31"/>
    </row>
    <row r="309" spans="2:4" ht="15.75" customHeight="1" x14ac:dyDescent="0.25">
      <c r="B309" s="5"/>
      <c r="D309" s="31"/>
    </row>
    <row r="310" spans="2:4" ht="15.75" customHeight="1" x14ac:dyDescent="0.25">
      <c r="B310" s="5"/>
      <c r="D310" s="31"/>
    </row>
    <row r="311" spans="2:4" ht="15.75" customHeight="1" x14ac:dyDescent="0.25">
      <c r="B311" s="5"/>
      <c r="D311" s="31"/>
    </row>
    <row r="312" spans="2:4" ht="15.75" customHeight="1" x14ac:dyDescent="0.25">
      <c r="B312" s="5"/>
      <c r="D312" s="31"/>
    </row>
    <row r="313" spans="2:4" ht="15.75" customHeight="1" x14ac:dyDescent="0.25">
      <c r="B313" s="5"/>
      <c r="D313" s="31"/>
    </row>
    <row r="314" spans="2:4" ht="15.75" customHeight="1" x14ac:dyDescent="0.25">
      <c r="B314" s="5"/>
      <c r="D314" s="31"/>
    </row>
    <row r="315" spans="2:4" ht="15.75" customHeight="1" x14ac:dyDescent="0.25">
      <c r="B315" s="5"/>
      <c r="D315" s="31"/>
    </row>
    <row r="316" spans="2:4" ht="15.75" customHeight="1" x14ac:dyDescent="0.25">
      <c r="B316" s="5"/>
      <c r="D316" s="31"/>
    </row>
    <row r="317" spans="2:4" ht="15.75" customHeight="1" x14ac:dyDescent="0.25">
      <c r="B317" s="5"/>
      <c r="D317" s="31"/>
    </row>
    <row r="318" spans="2:4" ht="15.75" customHeight="1" x14ac:dyDescent="0.25">
      <c r="B318" s="5"/>
      <c r="D318" s="31"/>
    </row>
    <row r="319" spans="2:4" ht="15.75" customHeight="1" x14ac:dyDescent="0.25">
      <c r="B319" s="5"/>
      <c r="D319" s="31"/>
    </row>
    <row r="320" spans="2:4" ht="15.75" customHeight="1" x14ac:dyDescent="0.25">
      <c r="B320" s="5"/>
      <c r="D320" s="31"/>
    </row>
    <row r="321" spans="2:4" ht="15.75" customHeight="1" x14ac:dyDescent="0.25">
      <c r="B321" s="5"/>
      <c r="D321" s="31"/>
    </row>
    <row r="322" spans="2:4" ht="15.75" customHeight="1" x14ac:dyDescent="0.25">
      <c r="B322" s="5"/>
      <c r="D322" s="31"/>
    </row>
    <row r="323" spans="2:4" ht="15.75" customHeight="1" x14ac:dyDescent="0.25">
      <c r="B323" s="5"/>
      <c r="D323" s="31"/>
    </row>
    <row r="324" spans="2:4" ht="15.75" customHeight="1" x14ac:dyDescent="0.25">
      <c r="B324" s="5"/>
      <c r="D324" s="31"/>
    </row>
    <row r="325" spans="2:4" ht="15.75" customHeight="1" x14ac:dyDescent="0.25">
      <c r="B325" s="5"/>
      <c r="D325" s="31"/>
    </row>
    <row r="326" spans="2:4" ht="15.75" customHeight="1" x14ac:dyDescent="0.25">
      <c r="B326" s="5"/>
      <c r="D326" s="31"/>
    </row>
    <row r="327" spans="2:4" ht="15.75" customHeight="1" x14ac:dyDescent="0.25">
      <c r="B327" s="5"/>
      <c r="D327" s="31"/>
    </row>
    <row r="328" spans="2:4" ht="15.75" customHeight="1" x14ac:dyDescent="0.25">
      <c r="B328" s="5"/>
      <c r="D328" s="31"/>
    </row>
    <row r="329" spans="2:4" ht="15.75" customHeight="1" x14ac:dyDescent="0.25">
      <c r="B329" s="5"/>
      <c r="D329" s="31"/>
    </row>
    <row r="330" spans="2:4" ht="15.75" customHeight="1" x14ac:dyDescent="0.25">
      <c r="B330" s="5"/>
      <c r="D330" s="31"/>
    </row>
    <row r="331" spans="2:4" ht="15.75" customHeight="1" x14ac:dyDescent="0.25">
      <c r="B331" s="5"/>
      <c r="D331" s="31"/>
    </row>
    <row r="332" spans="2:4" ht="15.75" customHeight="1" x14ac:dyDescent="0.25">
      <c r="B332" s="5"/>
      <c r="D332" s="31"/>
    </row>
    <row r="333" spans="2:4" ht="15.75" customHeight="1" x14ac:dyDescent="0.25">
      <c r="B333" s="5"/>
      <c r="D333" s="31"/>
    </row>
    <row r="334" spans="2:4" ht="15.75" customHeight="1" x14ac:dyDescent="0.25">
      <c r="B334" s="5"/>
      <c r="D334" s="31"/>
    </row>
    <row r="335" spans="2:4" ht="15.75" customHeight="1" x14ac:dyDescent="0.25">
      <c r="B335" s="5"/>
      <c r="D335" s="31"/>
    </row>
    <row r="336" spans="2:4" ht="15.75" customHeight="1" x14ac:dyDescent="0.25">
      <c r="B336" s="5"/>
      <c r="D336" s="31"/>
    </row>
    <row r="337" spans="2:4" ht="15.75" customHeight="1" x14ac:dyDescent="0.25">
      <c r="B337" s="5"/>
      <c r="D337" s="31"/>
    </row>
    <row r="338" spans="2:4" ht="15.75" customHeight="1" x14ac:dyDescent="0.25">
      <c r="B338" s="5"/>
      <c r="D338" s="31"/>
    </row>
    <row r="339" spans="2:4" ht="15.75" customHeight="1" x14ac:dyDescent="0.25">
      <c r="B339" s="5"/>
      <c r="D339" s="31"/>
    </row>
    <row r="340" spans="2:4" ht="15.75" customHeight="1" x14ac:dyDescent="0.25">
      <c r="B340" s="5"/>
      <c r="D340" s="31"/>
    </row>
    <row r="341" spans="2:4" ht="15.75" customHeight="1" x14ac:dyDescent="0.25">
      <c r="B341" s="5"/>
      <c r="D341" s="31"/>
    </row>
    <row r="342" spans="2:4" ht="15.75" customHeight="1" x14ac:dyDescent="0.25">
      <c r="B342" s="5"/>
      <c r="D342" s="31"/>
    </row>
    <row r="343" spans="2:4" ht="15.75" customHeight="1" x14ac:dyDescent="0.25">
      <c r="B343" s="5"/>
      <c r="D343" s="31"/>
    </row>
    <row r="344" spans="2:4" ht="15.75" customHeight="1" x14ac:dyDescent="0.25">
      <c r="B344" s="5"/>
      <c r="D344" s="31"/>
    </row>
    <row r="345" spans="2:4" ht="15.75" customHeight="1" x14ac:dyDescent="0.25">
      <c r="B345" s="5"/>
      <c r="D345" s="31"/>
    </row>
    <row r="346" spans="2:4" ht="15.75" customHeight="1" x14ac:dyDescent="0.25">
      <c r="B346" s="5"/>
      <c r="D346" s="31"/>
    </row>
    <row r="347" spans="2:4" ht="15.75" customHeight="1" x14ac:dyDescent="0.25">
      <c r="B347" s="5"/>
      <c r="D347" s="31"/>
    </row>
    <row r="348" spans="2:4" ht="15.75" customHeight="1" x14ac:dyDescent="0.25">
      <c r="B348" s="5"/>
      <c r="D348" s="31"/>
    </row>
    <row r="349" spans="2:4" ht="15.75" customHeight="1" x14ac:dyDescent="0.25">
      <c r="B349" s="5"/>
      <c r="D349" s="31"/>
    </row>
    <row r="350" spans="2:4" ht="15.75" customHeight="1" x14ac:dyDescent="0.25">
      <c r="B350" s="5"/>
      <c r="D350" s="31"/>
    </row>
    <row r="351" spans="2:4" ht="15.75" customHeight="1" x14ac:dyDescent="0.25">
      <c r="B351" s="5"/>
      <c r="D351" s="31"/>
    </row>
    <row r="352" spans="2:4" ht="15.75" customHeight="1" x14ac:dyDescent="0.25">
      <c r="B352" s="5"/>
      <c r="D352" s="31"/>
    </row>
    <row r="353" spans="2:4" ht="15.75" customHeight="1" x14ac:dyDescent="0.25">
      <c r="B353" s="5"/>
      <c r="D353" s="31"/>
    </row>
    <row r="354" spans="2:4" ht="15.75" customHeight="1" x14ac:dyDescent="0.25">
      <c r="B354" s="5"/>
      <c r="D354" s="31"/>
    </row>
    <row r="355" spans="2:4" ht="15.75" customHeight="1" x14ac:dyDescent="0.25">
      <c r="B355" s="5"/>
      <c r="D355" s="31"/>
    </row>
    <row r="356" spans="2:4" ht="15.75" customHeight="1" x14ac:dyDescent="0.25">
      <c r="B356" s="5"/>
      <c r="D356" s="31"/>
    </row>
    <row r="357" spans="2:4" ht="15.75" customHeight="1" x14ac:dyDescent="0.25">
      <c r="B357" s="5"/>
      <c r="D357" s="31"/>
    </row>
    <row r="358" spans="2:4" ht="15.75" customHeight="1" x14ac:dyDescent="0.25">
      <c r="B358" s="5"/>
      <c r="D358" s="31"/>
    </row>
    <row r="359" spans="2:4" ht="15.75" customHeight="1" x14ac:dyDescent="0.25">
      <c r="B359" s="5"/>
      <c r="D359" s="31"/>
    </row>
    <row r="360" spans="2:4" ht="15.75" customHeight="1" x14ac:dyDescent="0.25">
      <c r="B360" s="5"/>
      <c r="D360" s="31"/>
    </row>
    <row r="361" spans="2:4" ht="15.75" customHeight="1" x14ac:dyDescent="0.25">
      <c r="B361" s="5"/>
      <c r="D361" s="31"/>
    </row>
    <row r="362" spans="2:4" ht="15.75" customHeight="1" x14ac:dyDescent="0.25">
      <c r="B362" s="5"/>
      <c r="D362" s="31"/>
    </row>
    <row r="363" spans="2:4" ht="15.75" customHeight="1" x14ac:dyDescent="0.25">
      <c r="B363" s="5"/>
      <c r="D363" s="31"/>
    </row>
    <row r="364" spans="2:4" ht="15.75" customHeight="1" x14ac:dyDescent="0.25">
      <c r="B364" s="5"/>
      <c r="D364" s="31"/>
    </row>
    <row r="365" spans="2:4" ht="15.75" customHeight="1" x14ac:dyDescent="0.25">
      <c r="B365" s="5"/>
      <c r="D365" s="31"/>
    </row>
    <row r="366" spans="2:4" ht="15.75" customHeight="1" x14ac:dyDescent="0.25">
      <c r="B366" s="5"/>
      <c r="D366" s="31"/>
    </row>
    <row r="367" spans="2:4" ht="15.75" customHeight="1" x14ac:dyDescent="0.25">
      <c r="B367" s="5"/>
      <c r="D367" s="31"/>
    </row>
    <row r="368" spans="2:4" ht="15.75" customHeight="1" x14ac:dyDescent="0.25">
      <c r="B368" s="5"/>
      <c r="D368" s="31"/>
    </row>
    <row r="369" spans="2:4" ht="15.75" customHeight="1" x14ac:dyDescent="0.25">
      <c r="B369" s="5"/>
      <c r="D369" s="31"/>
    </row>
    <row r="370" spans="2:4" ht="15.75" customHeight="1" x14ac:dyDescent="0.25">
      <c r="B370" s="5"/>
      <c r="D370" s="31"/>
    </row>
    <row r="371" spans="2:4" ht="15.75" customHeight="1" x14ac:dyDescent="0.25">
      <c r="B371" s="5"/>
      <c r="D371" s="31"/>
    </row>
    <row r="372" spans="2:4" ht="15.75" customHeight="1" x14ac:dyDescent="0.25">
      <c r="B372" s="5"/>
      <c r="D372" s="31"/>
    </row>
    <row r="373" spans="2:4" ht="15.75" customHeight="1" x14ac:dyDescent="0.25">
      <c r="B373" s="5"/>
      <c r="D373" s="31"/>
    </row>
    <row r="374" spans="2:4" ht="15.75" customHeight="1" x14ac:dyDescent="0.25">
      <c r="B374" s="5"/>
      <c r="D374" s="31"/>
    </row>
    <row r="375" spans="2:4" ht="15.75" customHeight="1" x14ac:dyDescent="0.25">
      <c r="B375" s="5"/>
      <c r="D375" s="31"/>
    </row>
    <row r="376" spans="2:4" ht="15.75" customHeight="1" x14ac:dyDescent="0.25">
      <c r="B376" s="5"/>
      <c r="D376" s="31"/>
    </row>
    <row r="377" spans="2:4" ht="15.75" customHeight="1" x14ac:dyDescent="0.25">
      <c r="B377" s="5"/>
      <c r="D377" s="31"/>
    </row>
    <row r="378" spans="2:4" ht="15.75" customHeight="1" x14ac:dyDescent="0.25">
      <c r="B378" s="5"/>
      <c r="D378" s="31"/>
    </row>
    <row r="379" spans="2:4" ht="15.75" customHeight="1" x14ac:dyDescent="0.25">
      <c r="B379" s="5"/>
      <c r="D379" s="31"/>
    </row>
    <row r="380" spans="2:4" ht="15.75" customHeight="1" x14ac:dyDescent="0.25">
      <c r="B380" s="5"/>
      <c r="D380" s="31"/>
    </row>
    <row r="381" spans="2:4" ht="15.75" customHeight="1" x14ac:dyDescent="0.25">
      <c r="B381" s="5"/>
      <c r="D381" s="31"/>
    </row>
    <row r="382" spans="2:4" ht="15.75" customHeight="1" x14ac:dyDescent="0.25">
      <c r="B382" s="5"/>
      <c r="D382" s="31"/>
    </row>
    <row r="383" spans="2:4" ht="15.75" customHeight="1" x14ac:dyDescent="0.25">
      <c r="B383" s="5"/>
      <c r="D383" s="31"/>
    </row>
    <row r="384" spans="2:4" ht="15.75" customHeight="1" x14ac:dyDescent="0.25">
      <c r="B384" s="5"/>
      <c r="D384" s="31"/>
    </row>
    <row r="385" spans="2:4" ht="15.75" customHeight="1" x14ac:dyDescent="0.25">
      <c r="B385" s="5"/>
      <c r="D385" s="31"/>
    </row>
    <row r="386" spans="2:4" ht="15.75" customHeight="1" x14ac:dyDescent="0.25">
      <c r="B386" s="5"/>
      <c r="D386" s="31"/>
    </row>
    <row r="387" spans="2:4" ht="15.75" customHeight="1" x14ac:dyDescent="0.25">
      <c r="B387" s="5"/>
      <c r="D387" s="31"/>
    </row>
    <row r="388" spans="2:4" ht="15.75" customHeight="1" x14ac:dyDescent="0.25">
      <c r="B388" s="5"/>
      <c r="D388" s="31"/>
    </row>
    <row r="389" spans="2:4" ht="15.75" customHeight="1" x14ac:dyDescent="0.25">
      <c r="B389" s="5"/>
      <c r="D389" s="31"/>
    </row>
    <row r="390" spans="2:4" ht="15.75" customHeight="1" x14ac:dyDescent="0.25">
      <c r="B390" s="5"/>
      <c r="D390" s="31"/>
    </row>
    <row r="391" spans="2:4" ht="15.75" customHeight="1" x14ac:dyDescent="0.25">
      <c r="B391" s="5"/>
      <c r="D391" s="31"/>
    </row>
    <row r="392" spans="2:4" ht="15.75" customHeight="1" x14ac:dyDescent="0.25">
      <c r="B392" s="5"/>
      <c r="D392" s="31"/>
    </row>
    <row r="393" spans="2:4" ht="15.75" customHeight="1" x14ac:dyDescent="0.25">
      <c r="B393" s="5"/>
      <c r="D393" s="31"/>
    </row>
    <row r="394" spans="2:4" ht="15.75" customHeight="1" x14ac:dyDescent="0.25">
      <c r="B394" s="5"/>
      <c r="D394" s="31"/>
    </row>
    <row r="395" spans="2:4" ht="15.75" customHeight="1" x14ac:dyDescent="0.25">
      <c r="B395" s="5"/>
      <c r="D395" s="31"/>
    </row>
    <row r="396" spans="2:4" ht="15.75" customHeight="1" x14ac:dyDescent="0.25">
      <c r="B396" s="5"/>
      <c r="D396" s="31"/>
    </row>
    <row r="397" spans="2:4" ht="15.75" customHeight="1" x14ac:dyDescent="0.25">
      <c r="B397" s="5"/>
      <c r="D397" s="31"/>
    </row>
    <row r="398" spans="2:4" ht="15.75" customHeight="1" x14ac:dyDescent="0.25">
      <c r="B398" s="5"/>
      <c r="D398" s="31"/>
    </row>
    <row r="399" spans="2:4" ht="15.75" customHeight="1" x14ac:dyDescent="0.25">
      <c r="B399" s="5"/>
      <c r="D399" s="31"/>
    </row>
    <row r="400" spans="2:4" ht="15.75" customHeight="1" x14ac:dyDescent="0.25">
      <c r="B400" s="5"/>
      <c r="D400" s="31"/>
    </row>
    <row r="401" spans="2:4" ht="15.75" customHeight="1" x14ac:dyDescent="0.25">
      <c r="B401" s="5"/>
      <c r="D401" s="31"/>
    </row>
    <row r="402" spans="2:4" ht="15.75" customHeight="1" x14ac:dyDescent="0.25">
      <c r="B402" s="5"/>
      <c r="D402" s="31"/>
    </row>
    <row r="403" spans="2:4" ht="15.75" customHeight="1" x14ac:dyDescent="0.25">
      <c r="B403" s="5"/>
      <c r="D403" s="31"/>
    </row>
    <row r="404" spans="2:4" ht="15.75" customHeight="1" x14ac:dyDescent="0.25">
      <c r="B404" s="5"/>
      <c r="D404" s="31"/>
    </row>
    <row r="405" spans="2:4" ht="15.75" customHeight="1" x14ac:dyDescent="0.25">
      <c r="B405" s="5"/>
      <c r="D405" s="31"/>
    </row>
    <row r="406" spans="2:4" ht="15.75" customHeight="1" x14ac:dyDescent="0.25">
      <c r="B406" s="5"/>
      <c r="D406" s="31"/>
    </row>
    <row r="407" spans="2:4" ht="15.75" customHeight="1" x14ac:dyDescent="0.25">
      <c r="B407" s="5"/>
      <c r="D407" s="31"/>
    </row>
    <row r="408" spans="2:4" ht="15.75" customHeight="1" x14ac:dyDescent="0.25">
      <c r="B408" s="5"/>
      <c r="D408" s="31"/>
    </row>
    <row r="409" spans="2:4" ht="15.75" customHeight="1" x14ac:dyDescent="0.25">
      <c r="B409" s="5"/>
      <c r="D409" s="31"/>
    </row>
    <row r="410" spans="2:4" ht="15.75" customHeight="1" x14ac:dyDescent="0.25">
      <c r="B410" s="5"/>
      <c r="D410" s="31"/>
    </row>
    <row r="411" spans="2:4" ht="15.75" customHeight="1" x14ac:dyDescent="0.25">
      <c r="B411" s="5"/>
      <c r="D411" s="31"/>
    </row>
    <row r="412" spans="2:4" ht="15.75" customHeight="1" x14ac:dyDescent="0.25">
      <c r="B412" s="5"/>
      <c r="D412" s="31"/>
    </row>
    <row r="413" spans="2:4" ht="15.75" customHeight="1" x14ac:dyDescent="0.25">
      <c r="B413" s="5"/>
      <c r="D413" s="31"/>
    </row>
    <row r="414" spans="2:4" ht="15.75" customHeight="1" x14ac:dyDescent="0.25">
      <c r="B414" s="5"/>
      <c r="D414" s="31"/>
    </row>
    <row r="415" spans="2:4" ht="15.75" customHeight="1" x14ac:dyDescent="0.25">
      <c r="B415" s="5"/>
      <c r="D415" s="31"/>
    </row>
    <row r="416" spans="2:4" ht="15.75" customHeight="1" x14ac:dyDescent="0.25">
      <c r="B416" s="5"/>
      <c r="D416" s="31"/>
    </row>
    <row r="417" spans="2:4" ht="15.75" customHeight="1" x14ac:dyDescent="0.25">
      <c r="B417" s="5"/>
      <c r="D417" s="31"/>
    </row>
    <row r="418" spans="2:4" ht="15.75" customHeight="1" x14ac:dyDescent="0.25">
      <c r="B418" s="5"/>
      <c r="D418" s="31"/>
    </row>
    <row r="419" spans="2:4" ht="15.75" customHeight="1" x14ac:dyDescent="0.25">
      <c r="B419" s="5"/>
      <c r="D419" s="31"/>
    </row>
    <row r="420" spans="2:4" ht="15.75" customHeight="1" x14ac:dyDescent="0.25">
      <c r="B420" s="5"/>
      <c r="D420" s="31"/>
    </row>
    <row r="421" spans="2:4" ht="15.75" customHeight="1" x14ac:dyDescent="0.25">
      <c r="B421" s="5"/>
      <c r="D421" s="31"/>
    </row>
    <row r="422" spans="2:4" ht="15.75" customHeight="1" x14ac:dyDescent="0.25">
      <c r="B422" s="5"/>
      <c r="D422" s="31"/>
    </row>
    <row r="423" spans="2:4" ht="15.75" customHeight="1" x14ac:dyDescent="0.25">
      <c r="B423" s="5"/>
      <c r="D423" s="31"/>
    </row>
    <row r="424" spans="2:4" ht="15.75" customHeight="1" x14ac:dyDescent="0.25">
      <c r="B424" s="5"/>
      <c r="D424" s="31"/>
    </row>
    <row r="425" spans="2:4" ht="15.75" customHeight="1" x14ac:dyDescent="0.25">
      <c r="B425" s="5"/>
      <c r="D425" s="31"/>
    </row>
    <row r="426" spans="2:4" ht="15.75" customHeight="1" x14ac:dyDescent="0.25">
      <c r="B426" s="5"/>
      <c r="D426" s="31"/>
    </row>
    <row r="427" spans="2:4" ht="15.75" customHeight="1" x14ac:dyDescent="0.25">
      <c r="B427" s="5"/>
      <c r="D427" s="31"/>
    </row>
    <row r="428" spans="2:4" ht="15.75" customHeight="1" x14ac:dyDescent="0.25">
      <c r="B428" s="5"/>
      <c r="D428" s="31"/>
    </row>
    <row r="429" spans="2:4" ht="15.75" customHeight="1" x14ac:dyDescent="0.25">
      <c r="B429" s="5"/>
      <c r="D429" s="31"/>
    </row>
    <row r="430" spans="2:4" ht="15.75" customHeight="1" x14ac:dyDescent="0.25">
      <c r="B430" s="5"/>
      <c r="D430" s="31"/>
    </row>
    <row r="431" spans="2:4" ht="15.75" customHeight="1" x14ac:dyDescent="0.25">
      <c r="B431" s="5"/>
      <c r="D431" s="31"/>
    </row>
    <row r="432" spans="2:4" ht="15.75" customHeight="1" x14ac:dyDescent="0.25">
      <c r="B432" s="5"/>
      <c r="D432" s="31"/>
    </row>
    <row r="433" spans="2:4" ht="15.75" customHeight="1" x14ac:dyDescent="0.25">
      <c r="B433" s="5"/>
      <c r="D433" s="31"/>
    </row>
    <row r="434" spans="2:4" ht="15.75" customHeight="1" x14ac:dyDescent="0.25">
      <c r="B434" s="5"/>
      <c r="D434" s="31"/>
    </row>
    <row r="435" spans="2:4" ht="15.75" customHeight="1" x14ac:dyDescent="0.25">
      <c r="B435" s="5"/>
      <c r="D435" s="31"/>
    </row>
    <row r="436" spans="2:4" ht="15.75" customHeight="1" x14ac:dyDescent="0.25">
      <c r="B436" s="5"/>
      <c r="D436" s="31"/>
    </row>
    <row r="437" spans="2:4" ht="15.75" customHeight="1" x14ac:dyDescent="0.25">
      <c r="B437" s="5"/>
      <c r="D437" s="31"/>
    </row>
    <row r="438" spans="2:4" ht="15.75" customHeight="1" x14ac:dyDescent="0.25">
      <c r="B438" s="5"/>
      <c r="D438" s="31"/>
    </row>
    <row r="439" spans="2:4" ht="15.75" customHeight="1" x14ac:dyDescent="0.25">
      <c r="B439" s="5"/>
      <c r="D439" s="31"/>
    </row>
    <row r="440" spans="2:4" ht="15.75" customHeight="1" x14ac:dyDescent="0.25">
      <c r="B440" s="5"/>
      <c r="D440" s="31"/>
    </row>
    <row r="441" spans="2:4" ht="15.75" customHeight="1" x14ac:dyDescent="0.25">
      <c r="B441" s="5"/>
      <c r="D441" s="31"/>
    </row>
    <row r="442" spans="2:4" ht="15.75" customHeight="1" x14ac:dyDescent="0.25">
      <c r="B442" s="5"/>
      <c r="D442" s="31"/>
    </row>
    <row r="443" spans="2:4" ht="15.75" customHeight="1" x14ac:dyDescent="0.25">
      <c r="B443" s="5"/>
      <c r="D443" s="31"/>
    </row>
    <row r="444" spans="2:4" ht="15.75" customHeight="1" x14ac:dyDescent="0.25">
      <c r="B444" s="5"/>
      <c r="D444" s="31"/>
    </row>
    <row r="445" spans="2:4" ht="15.75" customHeight="1" x14ac:dyDescent="0.25">
      <c r="B445" s="5"/>
      <c r="D445" s="31"/>
    </row>
    <row r="446" spans="2:4" ht="15.75" customHeight="1" x14ac:dyDescent="0.25">
      <c r="B446" s="5"/>
      <c r="D446" s="31"/>
    </row>
    <row r="447" spans="2:4" ht="15.75" customHeight="1" x14ac:dyDescent="0.25">
      <c r="B447" s="5"/>
      <c r="D447" s="31"/>
    </row>
    <row r="448" spans="2:4" ht="15.75" customHeight="1" x14ac:dyDescent="0.25">
      <c r="B448" s="5"/>
      <c r="D448" s="31"/>
    </row>
    <row r="449" spans="2:4" ht="15.75" customHeight="1" x14ac:dyDescent="0.25">
      <c r="B449" s="5"/>
      <c r="D449" s="31"/>
    </row>
    <row r="450" spans="2:4" ht="15.75" customHeight="1" x14ac:dyDescent="0.25">
      <c r="B450" s="5"/>
      <c r="D450" s="31"/>
    </row>
    <row r="451" spans="2:4" ht="15.75" customHeight="1" x14ac:dyDescent="0.25">
      <c r="B451" s="5"/>
      <c r="D451" s="31"/>
    </row>
    <row r="452" spans="2:4" ht="15.75" customHeight="1" x14ac:dyDescent="0.25">
      <c r="B452" s="5"/>
      <c r="D452" s="31"/>
    </row>
    <row r="453" spans="2:4" ht="15.75" customHeight="1" x14ac:dyDescent="0.25">
      <c r="B453" s="5"/>
      <c r="D453" s="31"/>
    </row>
    <row r="454" spans="2:4" ht="15.75" customHeight="1" x14ac:dyDescent="0.25">
      <c r="B454" s="5"/>
      <c r="D454" s="31"/>
    </row>
    <row r="455" spans="2:4" ht="15.75" customHeight="1" x14ac:dyDescent="0.25">
      <c r="B455" s="5"/>
      <c r="D455" s="31"/>
    </row>
    <row r="456" spans="2:4" ht="15.75" customHeight="1" x14ac:dyDescent="0.25">
      <c r="B456" s="5"/>
      <c r="D456" s="31"/>
    </row>
    <row r="457" spans="2:4" ht="15.75" customHeight="1" x14ac:dyDescent="0.25">
      <c r="B457" s="5"/>
      <c r="D457" s="31"/>
    </row>
    <row r="458" spans="2:4" ht="15.75" customHeight="1" x14ac:dyDescent="0.25">
      <c r="B458" s="5"/>
      <c r="D458" s="31"/>
    </row>
    <row r="459" spans="2:4" ht="15.75" customHeight="1" x14ac:dyDescent="0.25">
      <c r="B459" s="5"/>
      <c r="D459" s="31"/>
    </row>
    <row r="460" spans="2:4" ht="15.75" customHeight="1" x14ac:dyDescent="0.25">
      <c r="B460" s="5"/>
      <c r="D460" s="31"/>
    </row>
    <row r="461" spans="2:4" ht="15.75" customHeight="1" x14ac:dyDescent="0.25">
      <c r="B461" s="5"/>
      <c r="D461" s="31"/>
    </row>
    <row r="462" spans="2:4" ht="15.75" customHeight="1" x14ac:dyDescent="0.25">
      <c r="B462" s="5"/>
      <c r="D462" s="31"/>
    </row>
    <row r="463" spans="2:4" ht="15.75" customHeight="1" x14ac:dyDescent="0.25">
      <c r="B463" s="5"/>
      <c r="D463" s="31"/>
    </row>
    <row r="464" spans="2:4" ht="15.75" customHeight="1" x14ac:dyDescent="0.25">
      <c r="B464" s="5"/>
      <c r="D464" s="31"/>
    </row>
    <row r="465" spans="2:4" ht="15.75" customHeight="1" x14ac:dyDescent="0.25">
      <c r="B465" s="5"/>
      <c r="D465" s="31"/>
    </row>
    <row r="466" spans="2:4" ht="15.75" customHeight="1" x14ac:dyDescent="0.25">
      <c r="B466" s="5"/>
      <c r="D466" s="31"/>
    </row>
    <row r="467" spans="2:4" ht="15.75" customHeight="1" x14ac:dyDescent="0.25">
      <c r="B467" s="5"/>
      <c r="D467" s="31"/>
    </row>
    <row r="468" spans="2:4" ht="15.75" customHeight="1" x14ac:dyDescent="0.25">
      <c r="B468" s="5"/>
      <c r="D468" s="31"/>
    </row>
    <row r="469" spans="2:4" ht="15.75" customHeight="1" x14ac:dyDescent="0.25">
      <c r="B469" s="5"/>
      <c r="D469" s="31"/>
    </row>
    <row r="470" spans="2:4" ht="15.75" customHeight="1" x14ac:dyDescent="0.25">
      <c r="B470" s="5"/>
      <c r="D470" s="31"/>
    </row>
    <row r="471" spans="2:4" ht="15.75" customHeight="1" x14ac:dyDescent="0.25">
      <c r="B471" s="5"/>
      <c r="D471" s="31"/>
    </row>
    <row r="472" spans="2:4" ht="15.75" customHeight="1" x14ac:dyDescent="0.25">
      <c r="B472" s="5"/>
      <c r="D472" s="31"/>
    </row>
    <row r="473" spans="2:4" ht="15.75" customHeight="1" x14ac:dyDescent="0.25">
      <c r="B473" s="5"/>
      <c r="D473" s="31"/>
    </row>
    <row r="474" spans="2:4" ht="15.75" customHeight="1" x14ac:dyDescent="0.25">
      <c r="B474" s="5"/>
      <c r="D474" s="31"/>
    </row>
    <row r="475" spans="2:4" ht="15.75" customHeight="1" x14ac:dyDescent="0.25">
      <c r="B475" s="5"/>
      <c r="D475" s="31"/>
    </row>
    <row r="476" spans="2:4" ht="15.75" customHeight="1" x14ac:dyDescent="0.25">
      <c r="B476" s="5"/>
      <c r="D476" s="31"/>
    </row>
    <row r="477" spans="2:4" ht="15.75" customHeight="1" x14ac:dyDescent="0.25">
      <c r="B477" s="5"/>
      <c r="D477" s="31"/>
    </row>
    <row r="478" spans="2:4" ht="15.75" customHeight="1" x14ac:dyDescent="0.25">
      <c r="B478" s="5"/>
      <c r="D478" s="31"/>
    </row>
    <row r="479" spans="2:4" ht="15.75" customHeight="1" x14ac:dyDescent="0.25">
      <c r="B479" s="5"/>
      <c r="D479" s="31"/>
    </row>
    <row r="480" spans="2:4" ht="15.75" customHeight="1" x14ac:dyDescent="0.25">
      <c r="B480" s="5"/>
      <c r="D480" s="31"/>
    </row>
    <row r="481" spans="2:4" ht="15.75" customHeight="1" x14ac:dyDescent="0.25">
      <c r="B481" s="5"/>
      <c r="D481" s="31"/>
    </row>
    <row r="482" spans="2:4" ht="15.75" customHeight="1" x14ac:dyDescent="0.25">
      <c r="B482" s="5"/>
      <c r="D482" s="31"/>
    </row>
    <row r="483" spans="2:4" ht="15.75" customHeight="1" x14ac:dyDescent="0.25">
      <c r="B483" s="5"/>
      <c r="D483" s="31"/>
    </row>
    <row r="484" spans="2:4" ht="15.75" customHeight="1" x14ac:dyDescent="0.25">
      <c r="B484" s="5"/>
      <c r="D484" s="31"/>
    </row>
    <row r="485" spans="2:4" ht="15.75" customHeight="1" x14ac:dyDescent="0.25">
      <c r="B485" s="5"/>
      <c r="D485" s="31"/>
    </row>
    <row r="486" spans="2:4" ht="15.75" customHeight="1" x14ac:dyDescent="0.25">
      <c r="B486" s="5"/>
      <c r="D486" s="31"/>
    </row>
    <row r="487" spans="2:4" ht="15.75" customHeight="1" x14ac:dyDescent="0.25">
      <c r="B487" s="5"/>
      <c r="D487" s="31"/>
    </row>
    <row r="488" spans="2:4" ht="15.75" customHeight="1" x14ac:dyDescent="0.25">
      <c r="B488" s="5"/>
      <c r="D488" s="31"/>
    </row>
    <row r="489" spans="2:4" ht="15.75" customHeight="1" x14ac:dyDescent="0.25">
      <c r="B489" s="5"/>
      <c r="D489" s="31"/>
    </row>
    <row r="490" spans="2:4" ht="15.75" customHeight="1" x14ac:dyDescent="0.25">
      <c r="B490" s="5"/>
      <c r="D490" s="31"/>
    </row>
    <row r="491" spans="2:4" ht="15.75" customHeight="1" x14ac:dyDescent="0.25">
      <c r="B491" s="5"/>
      <c r="D491" s="31"/>
    </row>
    <row r="492" spans="2:4" ht="15.75" customHeight="1" x14ac:dyDescent="0.25">
      <c r="B492" s="5"/>
      <c r="D492" s="31"/>
    </row>
    <row r="493" spans="2:4" ht="15.75" customHeight="1" x14ac:dyDescent="0.25">
      <c r="B493" s="5"/>
      <c r="D493" s="31"/>
    </row>
    <row r="494" spans="2:4" ht="15.75" customHeight="1" x14ac:dyDescent="0.25">
      <c r="B494" s="5"/>
      <c r="D494" s="31"/>
    </row>
    <row r="495" spans="2:4" ht="15.75" customHeight="1" x14ac:dyDescent="0.25">
      <c r="B495" s="5"/>
      <c r="D495" s="31"/>
    </row>
    <row r="496" spans="2:4" ht="15.75" customHeight="1" x14ac:dyDescent="0.25">
      <c r="B496" s="5"/>
      <c r="D496" s="31"/>
    </row>
    <row r="497" spans="2:4" ht="15.75" customHeight="1" x14ac:dyDescent="0.25">
      <c r="B497" s="5"/>
      <c r="D497" s="31"/>
    </row>
    <row r="498" spans="2:4" ht="15.75" customHeight="1" x14ac:dyDescent="0.25">
      <c r="B498" s="5"/>
      <c r="D498" s="31"/>
    </row>
    <row r="499" spans="2:4" ht="15.75" customHeight="1" x14ac:dyDescent="0.25">
      <c r="B499" s="5"/>
      <c r="D499" s="31"/>
    </row>
    <row r="500" spans="2:4" ht="15.75" customHeight="1" x14ac:dyDescent="0.25">
      <c r="B500" s="5"/>
      <c r="D500" s="31"/>
    </row>
    <row r="501" spans="2:4" ht="15.75" customHeight="1" x14ac:dyDescent="0.25">
      <c r="B501" s="5"/>
      <c r="D501" s="31"/>
    </row>
    <row r="502" spans="2:4" ht="15.75" customHeight="1" x14ac:dyDescent="0.25">
      <c r="B502" s="5"/>
      <c r="D502" s="31"/>
    </row>
    <row r="503" spans="2:4" ht="15.75" customHeight="1" x14ac:dyDescent="0.25">
      <c r="B503" s="5"/>
      <c r="D503" s="31"/>
    </row>
    <row r="504" spans="2:4" ht="15.75" customHeight="1" x14ac:dyDescent="0.25">
      <c r="B504" s="5"/>
      <c r="D504" s="31"/>
    </row>
    <row r="505" spans="2:4" ht="15.75" customHeight="1" x14ac:dyDescent="0.25">
      <c r="B505" s="5"/>
      <c r="D505" s="31"/>
    </row>
    <row r="506" spans="2:4" ht="15.75" customHeight="1" x14ac:dyDescent="0.25">
      <c r="B506" s="5"/>
      <c r="D506" s="31"/>
    </row>
    <row r="507" spans="2:4" ht="15.75" customHeight="1" x14ac:dyDescent="0.25">
      <c r="B507" s="5"/>
      <c r="D507" s="31"/>
    </row>
    <row r="508" spans="2:4" ht="15.75" customHeight="1" x14ac:dyDescent="0.25">
      <c r="B508" s="5"/>
      <c r="D508" s="31"/>
    </row>
    <row r="509" spans="2:4" ht="15.75" customHeight="1" x14ac:dyDescent="0.25">
      <c r="B509" s="5"/>
      <c r="D509" s="31"/>
    </row>
    <row r="510" spans="2:4" ht="15.75" customHeight="1" x14ac:dyDescent="0.25">
      <c r="B510" s="5"/>
      <c r="D510" s="31"/>
    </row>
    <row r="511" spans="2:4" ht="15.75" customHeight="1" x14ac:dyDescent="0.25">
      <c r="B511" s="5"/>
      <c r="D511" s="31"/>
    </row>
    <row r="512" spans="2:4" ht="15.75" customHeight="1" x14ac:dyDescent="0.25">
      <c r="B512" s="5"/>
      <c r="D512" s="31"/>
    </row>
    <row r="513" spans="2:4" ht="15.75" customHeight="1" x14ac:dyDescent="0.25">
      <c r="B513" s="5"/>
      <c r="D513" s="31"/>
    </row>
    <row r="514" spans="2:4" ht="15.75" customHeight="1" x14ac:dyDescent="0.25">
      <c r="B514" s="5"/>
      <c r="D514" s="31"/>
    </row>
    <row r="515" spans="2:4" ht="15.75" customHeight="1" x14ac:dyDescent="0.25">
      <c r="B515" s="5"/>
      <c r="D515" s="31"/>
    </row>
    <row r="516" spans="2:4" ht="15.75" customHeight="1" x14ac:dyDescent="0.25">
      <c r="B516" s="5"/>
      <c r="D516" s="31"/>
    </row>
    <row r="517" spans="2:4" ht="15.75" customHeight="1" x14ac:dyDescent="0.25">
      <c r="B517" s="5"/>
      <c r="D517" s="31"/>
    </row>
    <row r="518" spans="2:4" ht="15.75" customHeight="1" x14ac:dyDescent="0.25">
      <c r="B518" s="5"/>
      <c r="D518" s="31"/>
    </row>
    <row r="519" spans="2:4" ht="15.75" customHeight="1" x14ac:dyDescent="0.25">
      <c r="B519" s="5"/>
      <c r="D519" s="31"/>
    </row>
    <row r="520" spans="2:4" ht="15.75" customHeight="1" x14ac:dyDescent="0.25">
      <c r="B520" s="5"/>
      <c r="D520" s="31"/>
    </row>
    <row r="521" spans="2:4" ht="15.75" customHeight="1" x14ac:dyDescent="0.25">
      <c r="B521" s="5"/>
      <c r="D521" s="31"/>
    </row>
    <row r="522" spans="2:4" ht="15.75" customHeight="1" x14ac:dyDescent="0.25">
      <c r="B522" s="5"/>
      <c r="D522" s="31"/>
    </row>
    <row r="523" spans="2:4" ht="15.75" customHeight="1" x14ac:dyDescent="0.25">
      <c r="B523" s="5"/>
      <c r="D523" s="31"/>
    </row>
    <row r="524" spans="2:4" ht="15.75" customHeight="1" x14ac:dyDescent="0.25">
      <c r="B524" s="5"/>
      <c r="D524" s="31"/>
    </row>
    <row r="525" spans="2:4" ht="15.75" customHeight="1" x14ac:dyDescent="0.25">
      <c r="B525" s="5"/>
      <c r="D525" s="31"/>
    </row>
    <row r="526" spans="2:4" ht="15.75" customHeight="1" x14ac:dyDescent="0.25">
      <c r="B526" s="5"/>
      <c r="D526" s="31"/>
    </row>
    <row r="527" spans="2:4" ht="15.75" customHeight="1" x14ac:dyDescent="0.25">
      <c r="B527" s="5"/>
      <c r="D527" s="31"/>
    </row>
    <row r="528" spans="2:4" ht="15.75" customHeight="1" x14ac:dyDescent="0.25">
      <c r="B528" s="5"/>
      <c r="D528" s="31"/>
    </row>
    <row r="529" spans="2:4" ht="15.75" customHeight="1" x14ac:dyDescent="0.25">
      <c r="B529" s="5"/>
      <c r="D529" s="31"/>
    </row>
    <row r="530" spans="2:4" ht="15.75" customHeight="1" x14ac:dyDescent="0.25">
      <c r="B530" s="5"/>
      <c r="D530" s="31"/>
    </row>
    <row r="531" spans="2:4" ht="15.75" customHeight="1" x14ac:dyDescent="0.25">
      <c r="B531" s="5"/>
      <c r="D531" s="31"/>
    </row>
    <row r="532" spans="2:4" ht="15.75" customHeight="1" x14ac:dyDescent="0.25">
      <c r="B532" s="5"/>
      <c r="D532" s="31"/>
    </row>
    <row r="533" spans="2:4" ht="15.75" customHeight="1" x14ac:dyDescent="0.25">
      <c r="B533" s="5"/>
      <c r="D533" s="31"/>
    </row>
    <row r="534" spans="2:4" ht="15.75" customHeight="1" x14ac:dyDescent="0.25">
      <c r="B534" s="5"/>
      <c r="D534" s="31"/>
    </row>
    <row r="535" spans="2:4" ht="15.75" customHeight="1" x14ac:dyDescent="0.25">
      <c r="B535" s="5"/>
      <c r="D535" s="31"/>
    </row>
    <row r="536" spans="2:4" ht="15.75" customHeight="1" x14ac:dyDescent="0.25">
      <c r="B536" s="5"/>
      <c r="D536" s="31"/>
    </row>
    <row r="537" spans="2:4" ht="15.75" customHeight="1" x14ac:dyDescent="0.25">
      <c r="B537" s="5"/>
      <c r="D537" s="31"/>
    </row>
    <row r="538" spans="2:4" ht="15.75" customHeight="1" x14ac:dyDescent="0.25">
      <c r="B538" s="5"/>
      <c r="D538" s="31"/>
    </row>
    <row r="539" spans="2:4" ht="15.75" customHeight="1" x14ac:dyDescent="0.25">
      <c r="B539" s="5"/>
      <c r="D539" s="31"/>
    </row>
    <row r="540" spans="2:4" ht="15.75" customHeight="1" x14ac:dyDescent="0.25">
      <c r="B540" s="5"/>
      <c r="D540" s="31"/>
    </row>
    <row r="541" spans="2:4" ht="15.75" customHeight="1" x14ac:dyDescent="0.25">
      <c r="B541" s="5"/>
      <c r="D541" s="31"/>
    </row>
    <row r="542" spans="2:4" ht="15.75" customHeight="1" x14ac:dyDescent="0.25">
      <c r="B542" s="5"/>
      <c r="D542" s="31"/>
    </row>
    <row r="543" spans="2:4" ht="15.75" customHeight="1" x14ac:dyDescent="0.25">
      <c r="B543" s="5"/>
      <c r="D543" s="31"/>
    </row>
    <row r="544" spans="2:4" ht="15.75" customHeight="1" x14ac:dyDescent="0.25">
      <c r="B544" s="5"/>
      <c r="D544" s="31"/>
    </row>
    <row r="545" spans="2:4" ht="15.75" customHeight="1" x14ac:dyDescent="0.25">
      <c r="B545" s="5"/>
      <c r="D545" s="31"/>
    </row>
    <row r="546" spans="2:4" ht="15.75" customHeight="1" x14ac:dyDescent="0.25">
      <c r="B546" s="5"/>
      <c r="D546" s="31"/>
    </row>
    <row r="547" spans="2:4" ht="15.75" customHeight="1" x14ac:dyDescent="0.25">
      <c r="B547" s="5"/>
      <c r="D547" s="31"/>
    </row>
    <row r="548" spans="2:4" ht="15.75" customHeight="1" x14ac:dyDescent="0.25">
      <c r="B548" s="5"/>
      <c r="D548" s="31"/>
    </row>
    <row r="549" spans="2:4" ht="15.75" customHeight="1" x14ac:dyDescent="0.25">
      <c r="B549" s="5"/>
      <c r="D549" s="31"/>
    </row>
    <row r="550" spans="2:4" ht="15.75" customHeight="1" x14ac:dyDescent="0.25">
      <c r="B550" s="5"/>
      <c r="D550" s="31"/>
    </row>
    <row r="551" spans="2:4" ht="15.75" customHeight="1" x14ac:dyDescent="0.25">
      <c r="B551" s="5"/>
      <c r="D551" s="31"/>
    </row>
    <row r="552" spans="2:4" ht="15.75" customHeight="1" x14ac:dyDescent="0.25">
      <c r="B552" s="5"/>
      <c r="D552" s="31"/>
    </row>
    <row r="553" spans="2:4" ht="15.75" customHeight="1" x14ac:dyDescent="0.25">
      <c r="B553" s="5"/>
      <c r="D553" s="31"/>
    </row>
    <row r="554" spans="2:4" ht="15.75" customHeight="1" x14ac:dyDescent="0.25">
      <c r="B554" s="5"/>
      <c r="D554" s="31"/>
    </row>
    <row r="555" spans="2:4" ht="15.75" customHeight="1" x14ac:dyDescent="0.25">
      <c r="B555" s="5"/>
      <c r="D555" s="31"/>
    </row>
    <row r="556" spans="2:4" ht="15.75" customHeight="1" x14ac:dyDescent="0.25">
      <c r="B556" s="5"/>
      <c r="D556" s="31"/>
    </row>
    <row r="557" spans="2:4" ht="15.75" customHeight="1" x14ac:dyDescent="0.25">
      <c r="B557" s="5"/>
      <c r="D557" s="31"/>
    </row>
    <row r="558" spans="2:4" ht="15.75" customHeight="1" x14ac:dyDescent="0.25">
      <c r="B558" s="5"/>
      <c r="D558" s="31"/>
    </row>
    <row r="559" spans="2:4" ht="15.75" customHeight="1" x14ac:dyDescent="0.25">
      <c r="B559" s="5"/>
      <c r="D559" s="31"/>
    </row>
    <row r="560" spans="2:4" ht="15.75" customHeight="1" x14ac:dyDescent="0.25">
      <c r="B560" s="5"/>
      <c r="D560" s="31"/>
    </row>
    <row r="561" spans="2:4" ht="15.75" customHeight="1" x14ac:dyDescent="0.25">
      <c r="B561" s="5"/>
      <c r="D561" s="31"/>
    </row>
    <row r="562" spans="2:4" ht="15.75" customHeight="1" x14ac:dyDescent="0.25">
      <c r="B562" s="5"/>
      <c r="D562" s="31"/>
    </row>
    <row r="563" spans="2:4" ht="15.75" customHeight="1" x14ac:dyDescent="0.25">
      <c r="B563" s="5"/>
      <c r="D563" s="31"/>
    </row>
    <row r="564" spans="2:4" ht="15.75" customHeight="1" x14ac:dyDescent="0.25">
      <c r="B564" s="5"/>
      <c r="D564" s="31"/>
    </row>
    <row r="565" spans="2:4" ht="15.75" customHeight="1" x14ac:dyDescent="0.25">
      <c r="B565" s="5"/>
      <c r="D565" s="31"/>
    </row>
    <row r="566" spans="2:4" ht="15.75" customHeight="1" x14ac:dyDescent="0.25">
      <c r="B566" s="5"/>
      <c r="D566" s="31"/>
    </row>
    <row r="567" spans="2:4" ht="15.75" customHeight="1" x14ac:dyDescent="0.25">
      <c r="B567" s="5"/>
      <c r="D567" s="31"/>
    </row>
    <row r="568" spans="2:4" ht="15.75" customHeight="1" x14ac:dyDescent="0.25">
      <c r="B568" s="5"/>
      <c r="D568" s="31"/>
    </row>
    <row r="569" spans="2:4" ht="15.75" customHeight="1" x14ac:dyDescent="0.25">
      <c r="B569" s="5"/>
      <c r="D569" s="31"/>
    </row>
    <row r="570" spans="2:4" ht="15.75" customHeight="1" x14ac:dyDescent="0.25">
      <c r="B570" s="5"/>
      <c r="D570" s="31"/>
    </row>
    <row r="571" spans="2:4" ht="15.75" customHeight="1" x14ac:dyDescent="0.25">
      <c r="B571" s="5"/>
      <c r="D571" s="31"/>
    </row>
    <row r="572" spans="2:4" ht="15.75" customHeight="1" x14ac:dyDescent="0.25">
      <c r="B572" s="5"/>
      <c r="D572" s="31"/>
    </row>
    <row r="573" spans="2:4" ht="15.75" customHeight="1" x14ac:dyDescent="0.25">
      <c r="B573" s="5"/>
      <c r="D573" s="31"/>
    </row>
    <row r="574" spans="2:4" ht="15.75" customHeight="1" x14ac:dyDescent="0.25">
      <c r="B574" s="5"/>
      <c r="D574" s="31"/>
    </row>
    <row r="575" spans="2:4" ht="15.75" customHeight="1" x14ac:dyDescent="0.25">
      <c r="B575" s="5"/>
      <c r="D575" s="31"/>
    </row>
    <row r="576" spans="2:4" ht="15.75" customHeight="1" x14ac:dyDescent="0.25">
      <c r="B576" s="5"/>
      <c r="D576" s="31"/>
    </row>
    <row r="577" spans="2:4" ht="15.75" customHeight="1" x14ac:dyDescent="0.25">
      <c r="B577" s="5"/>
      <c r="D577" s="31"/>
    </row>
    <row r="578" spans="2:4" ht="15.75" customHeight="1" x14ac:dyDescent="0.25">
      <c r="B578" s="5"/>
      <c r="D578" s="31"/>
    </row>
    <row r="579" spans="2:4" ht="15.75" customHeight="1" x14ac:dyDescent="0.25">
      <c r="B579" s="5"/>
      <c r="D579" s="31"/>
    </row>
    <row r="580" spans="2:4" ht="15.75" customHeight="1" x14ac:dyDescent="0.25">
      <c r="B580" s="5"/>
      <c r="D580" s="31"/>
    </row>
    <row r="581" spans="2:4" ht="15.75" customHeight="1" x14ac:dyDescent="0.25">
      <c r="B581" s="5"/>
      <c r="D581" s="31"/>
    </row>
    <row r="582" spans="2:4" ht="15.75" customHeight="1" x14ac:dyDescent="0.25">
      <c r="B582" s="5"/>
      <c r="D582" s="31"/>
    </row>
    <row r="583" spans="2:4" ht="15.75" customHeight="1" x14ac:dyDescent="0.25">
      <c r="B583" s="5"/>
      <c r="D583" s="31"/>
    </row>
    <row r="584" spans="2:4" ht="15.75" customHeight="1" x14ac:dyDescent="0.25">
      <c r="B584" s="5"/>
      <c r="D584" s="31"/>
    </row>
    <row r="585" spans="2:4" ht="15.75" customHeight="1" x14ac:dyDescent="0.25">
      <c r="B585" s="5"/>
      <c r="D585" s="31"/>
    </row>
    <row r="586" spans="2:4" ht="15.75" customHeight="1" x14ac:dyDescent="0.25">
      <c r="B586" s="5"/>
      <c r="D586" s="31"/>
    </row>
    <row r="587" spans="2:4" ht="15.75" customHeight="1" x14ac:dyDescent="0.25">
      <c r="B587" s="5"/>
      <c r="D587" s="31"/>
    </row>
    <row r="588" spans="2:4" ht="15.75" customHeight="1" x14ac:dyDescent="0.25">
      <c r="B588" s="5"/>
      <c r="D588" s="31"/>
    </row>
    <row r="589" spans="2:4" ht="15.75" customHeight="1" x14ac:dyDescent="0.25">
      <c r="B589" s="5"/>
      <c r="D589" s="31"/>
    </row>
    <row r="590" spans="2:4" ht="15.75" customHeight="1" x14ac:dyDescent="0.25">
      <c r="B590" s="5"/>
      <c r="D590" s="31"/>
    </row>
    <row r="591" spans="2:4" ht="15.75" customHeight="1" x14ac:dyDescent="0.25">
      <c r="B591" s="5"/>
      <c r="D591" s="31"/>
    </row>
    <row r="592" spans="2:4" ht="15.75" customHeight="1" x14ac:dyDescent="0.25">
      <c r="B592" s="5"/>
      <c r="D592" s="31"/>
    </row>
    <row r="593" spans="2:4" ht="15.75" customHeight="1" x14ac:dyDescent="0.25">
      <c r="B593" s="5"/>
      <c r="D593" s="31"/>
    </row>
    <row r="594" spans="2:4" ht="15.75" customHeight="1" x14ac:dyDescent="0.25">
      <c r="B594" s="5"/>
      <c r="D594" s="31"/>
    </row>
    <row r="595" spans="2:4" ht="15.75" customHeight="1" x14ac:dyDescent="0.25">
      <c r="B595" s="5"/>
      <c r="D595" s="31"/>
    </row>
    <row r="596" spans="2:4" ht="15.75" customHeight="1" x14ac:dyDescent="0.25">
      <c r="B596" s="5"/>
      <c r="D596" s="31"/>
    </row>
    <row r="597" spans="2:4" ht="15.75" customHeight="1" x14ac:dyDescent="0.25">
      <c r="B597" s="5"/>
      <c r="D597" s="31"/>
    </row>
    <row r="598" spans="2:4" ht="15.75" customHeight="1" x14ac:dyDescent="0.25">
      <c r="B598" s="5"/>
      <c r="D598" s="31"/>
    </row>
    <row r="599" spans="2:4" ht="15.75" customHeight="1" x14ac:dyDescent="0.25">
      <c r="B599" s="5"/>
      <c r="D599" s="31"/>
    </row>
    <row r="600" spans="2:4" ht="15.75" customHeight="1" x14ac:dyDescent="0.25">
      <c r="B600" s="5"/>
      <c r="D600" s="31"/>
    </row>
    <row r="601" spans="2:4" ht="15.75" customHeight="1" x14ac:dyDescent="0.25">
      <c r="B601" s="5"/>
      <c r="D601" s="31"/>
    </row>
    <row r="602" spans="2:4" ht="15.75" customHeight="1" x14ac:dyDescent="0.25">
      <c r="B602" s="5"/>
      <c r="D602" s="31"/>
    </row>
    <row r="603" spans="2:4" ht="15.75" customHeight="1" x14ac:dyDescent="0.25">
      <c r="B603" s="5"/>
      <c r="D603" s="31"/>
    </row>
    <row r="604" spans="2:4" ht="15.75" customHeight="1" x14ac:dyDescent="0.25">
      <c r="B604" s="5"/>
      <c r="D604" s="31"/>
    </row>
    <row r="605" spans="2:4" ht="15.75" customHeight="1" x14ac:dyDescent="0.25">
      <c r="B605" s="5"/>
      <c r="D605" s="31"/>
    </row>
    <row r="606" spans="2:4" ht="15.75" customHeight="1" x14ac:dyDescent="0.25">
      <c r="B606" s="5"/>
      <c r="D606" s="31"/>
    </row>
    <row r="607" spans="2:4" ht="15.75" customHeight="1" x14ac:dyDescent="0.25">
      <c r="B607" s="5"/>
      <c r="D607" s="31"/>
    </row>
    <row r="608" spans="2:4" ht="15.75" customHeight="1" x14ac:dyDescent="0.25">
      <c r="B608" s="5"/>
      <c r="D608" s="31"/>
    </row>
    <row r="609" spans="2:4" ht="15.75" customHeight="1" x14ac:dyDescent="0.25">
      <c r="B609" s="5"/>
      <c r="D609" s="31"/>
    </row>
    <row r="610" spans="2:4" ht="15.75" customHeight="1" x14ac:dyDescent="0.25">
      <c r="B610" s="5"/>
      <c r="D610" s="31"/>
    </row>
    <row r="611" spans="2:4" ht="15.75" customHeight="1" x14ac:dyDescent="0.25">
      <c r="B611" s="5"/>
      <c r="D611" s="31"/>
    </row>
    <row r="612" spans="2:4" ht="15.75" customHeight="1" x14ac:dyDescent="0.25">
      <c r="B612" s="5"/>
      <c r="D612" s="31"/>
    </row>
    <row r="613" spans="2:4" ht="15.75" customHeight="1" x14ac:dyDescent="0.25">
      <c r="B613" s="5"/>
      <c r="D613" s="31"/>
    </row>
    <row r="614" spans="2:4" ht="15.75" customHeight="1" x14ac:dyDescent="0.25">
      <c r="B614" s="5"/>
      <c r="D614" s="31"/>
    </row>
    <row r="615" spans="2:4" ht="15.75" customHeight="1" x14ac:dyDescent="0.25">
      <c r="B615" s="5"/>
      <c r="D615" s="31"/>
    </row>
    <row r="616" spans="2:4" ht="15.75" customHeight="1" x14ac:dyDescent="0.25">
      <c r="B616" s="5"/>
      <c r="D616" s="31"/>
    </row>
    <row r="617" spans="2:4" ht="15.75" customHeight="1" x14ac:dyDescent="0.25">
      <c r="B617" s="5"/>
      <c r="D617" s="31"/>
    </row>
    <row r="618" spans="2:4" ht="15.75" customHeight="1" x14ac:dyDescent="0.25">
      <c r="B618" s="5"/>
      <c r="D618" s="31"/>
    </row>
    <row r="619" spans="2:4" ht="15.75" customHeight="1" x14ac:dyDescent="0.25">
      <c r="B619" s="5"/>
      <c r="D619" s="31"/>
    </row>
    <row r="620" spans="2:4" ht="15.75" customHeight="1" x14ac:dyDescent="0.25">
      <c r="B620" s="5"/>
      <c r="D620" s="31"/>
    </row>
    <row r="621" spans="2:4" ht="15.75" customHeight="1" x14ac:dyDescent="0.25">
      <c r="B621" s="5"/>
      <c r="D621" s="31"/>
    </row>
    <row r="622" spans="2:4" ht="15.75" customHeight="1" x14ac:dyDescent="0.25">
      <c r="B622" s="5"/>
      <c r="D622" s="31"/>
    </row>
    <row r="623" spans="2:4" ht="15.75" customHeight="1" x14ac:dyDescent="0.25">
      <c r="B623" s="5"/>
      <c r="D623" s="31"/>
    </row>
    <row r="624" spans="2:4" ht="15.75" customHeight="1" x14ac:dyDescent="0.25">
      <c r="B624" s="5"/>
      <c r="D624" s="31"/>
    </row>
    <row r="625" spans="2:4" ht="15.75" customHeight="1" x14ac:dyDescent="0.25">
      <c r="B625" s="5"/>
      <c r="D625" s="31"/>
    </row>
    <row r="626" spans="2:4" ht="15.75" customHeight="1" x14ac:dyDescent="0.25">
      <c r="B626" s="5"/>
      <c r="D626" s="31"/>
    </row>
    <row r="627" spans="2:4" ht="15.75" customHeight="1" x14ac:dyDescent="0.25">
      <c r="B627" s="5"/>
      <c r="D627" s="31"/>
    </row>
    <row r="628" spans="2:4" ht="15.75" customHeight="1" x14ac:dyDescent="0.25">
      <c r="B628" s="5"/>
      <c r="D628" s="31"/>
    </row>
    <row r="629" spans="2:4" ht="15.75" customHeight="1" x14ac:dyDescent="0.25">
      <c r="B629" s="5"/>
      <c r="D629" s="31"/>
    </row>
    <row r="630" spans="2:4" ht="15.75" customHeight="1" x14ac:dyDescent="0.25">
      <c r="B630" s="5"/>
      <c r="D630" s="31"/>
    </row>
    <row r="631" spans="2:4" ht="15.75" customHeight="1" x14ac:dyDescent="0.25">
      <c r="B631" s="5"/>
      <c r="D631" s="31"/>
    </row>
    <row r="632" spans="2:4" ht="15.75" customHeight="1" x14ac:dyDescent="0.25">
      <c r="B632" s="5"/>
      <c r="D632" s="31"/>
    </row>
    <row r="633" spans="2:4" ht="15.75" customHeight="1" x14ac:dyDescent="0.25">
      <c r="B633" s="5"/>
      <c r="D633" s="31"/>
    </row>
    <row r="634" spans="2:4" ht="15.75" customHeight="1" x14ac:dyDescent="0.25">
      <c r="B634" s="5"/>
      <c r="D634" s="31"/>
    </row>
    <row r="635" spans="2:4" ht="15.75" customHeight="1" x14ac:dyDescent="0.25">
      <c r="B635" s="5"/>
      <c r="D635" s="31"/>
    </row>
    <row r="636" spans="2:4" ht="15.75" customHeight="1" x14ac:dyDescent="0.25">
      <c r="B636" s="5"/>
      <c r="D636" s="31"/>
    </row>
    <row r="637" spans="2:4" ht="15.75" customHeight="1" x14ac:dyDescent="0.25">
      <c r="B637" s="5"/>
      <c r="D637" s="31"/>
    </row>
    <row r="638" spans="2:4" ht="15.75" customHeight="1" x14ac:dyDescent="0.25">
      <c r="B638" s="5"/>
      <c r="D638" s="31"/>
    </row>
    <row r="639" spans="2:4" ht="15.75" customHeight="1" x14ac:dyDescent="0.25">
      <c r="B639" s="5"/>
      <c r="D639" s="31"/>
    </row>
    <row r="640" spans="2:4" ht="15.75" customHeight="1" x14ac:dyDescent="0.25">
      <c r="B640" s="5"/>
      <c r="D640" s="31"/>
    </row>
    <row r="641" spans="2:4" ht="15.75" customHeight="1" x14ac:dyDescent="0.25">
      <c r="B641" s="5"/>
      <c r="D641" s="31"/>
    </row>
    <row r="642" spans="2:4" ht="15.75" customHeight="1" x14ac:dyDescent="0.25">
      <c r="B642" s="5"/>
      <c r="D642" s="31"/>
    </row>
    <row r="643" spans="2:4" ht="15.75" customHeight="1" x14ac:dyDescent="0.25">
      <c r="B643" s="5"/>
      <c r="D643" s="31"/>
    </row>
    <row r="644" spans="2:4" ht="15.75" customHeight="1" x14ac:dyDescent="0.25">
      <c r="B644" s="5"/>
      <c r="D644" s="31"/>
    </row>
    <row r="645" spans="2:4" ht="15.75" customHeight="1" x14ac:dyDescent="0.25">
      <c r="B645" s="5"/>
      <c r="D645" s="31"/>
    </row>
    <row r="646" spans="2:4" ht="15.75" customHeight="1" x14ac:dyDescent="0.25">
      <c r="B646" s="5"/>
      <c r="D646" s="31"/>
    </row>
    <row r="647" spans="2:4" ht="15.75" customHeight="1" x14ac:dyDescent="0.25">
      <c r="B647" s="5"/>
      <c r="D647" s="31"/>
    </row>
    <row r="648" spans="2:4" ht="15.75" customHeight="1" x14ac:dyDescent="0.25">
      <c r="B648" s="5"/>
      <c r="D648" s="31"/>
    </row>
    <row r="649" spans="2:4" ht="15.75" customHeight="1" x14ac:dyDescent="0.25">
      <c r="B649" s="5"/>
      <c r="D649" s="31"/>
    </row>
    <row r="650" spans="2:4" ht="15.75" customHeight="1" x14ac:dyDescent="0.25">
      <c r="B650" s="5"/>
      <c r="D650" s="31"/>
    </row>
    <row r="651" spans="2:4" ht="15.75" customHeight="1" x14ac:dyDescent="0.25">
      <c r="B651" s="5"/>
      <c r="D651" s="31"/>
    </row>
    <row r="652" spans="2:4" ht="15.75" customHeight="1" x14ac:dyDescent="0.25">
      <c r="B652" s="5"/>
      <c r="D652" s="31"/>
    </row>
    <row r="653" spans="2:4" ht="15.75" customHeight="1" x14ac:dyDescent="0.25">
      <c r="B653" s="5"/>
      <c r="D653" s="31"/>
    </row>
    <row r="654" spans="2:4" ht="15.75" customHeight="1" x14ac:dyDescent="0.25">
      <c r="B654" s="5"/>
      <c r="D654" s="31"/>
    </row>
    <row r="655" spans="2:4" ht="15.75" customHeight="1" x14ac:dyDescent="0.25">
      <c r="B655" s="5"/>
      <c r="D655" s="31"/>
    </row>
    <row r="656" spans="2:4" ht="15.75" customHeight="1" x14ac:dyDescent="0.25">
      <c r="B656" s="5"/>
      <c r="D656" s="31"/>
    </row>
    <row r="657" spans="2:4" ht="15.75" customHeight="1" x14ac:dyDescent="0.25">
      <c r="B657" s="5"/>
      <c r="D657" s="31"/>
    </row>
    <row r="658" spans="2:4" ht="15.75" customHeight="1" x14ac:dyDescent="0.25">
      <c r="B658" s="5"/>
      <c r="D658" s="31"/>
    </row>
    <row r="659" spans="2:4" ht="15.75" customHeight="1" x14ac:dyDescent="0.25">
      <c r="B659" s="5"/>
      <c r="D659" s="31"/>
    </row>
    <row r="660" spans="2:4" ht="15.75" customHeight="1" x14ac:dyDescent="0.25">
      <c r="B660" s="5"/>
      <c r="D660" s="31"/>
    </row>
    <row r="661" spans="2:4" ht="15.75" customHeight="1" x14ac:dyDescent="0.25">
      <c r="B661" s="5"/>
      <c r="D661" s="31"/>
    </row>
    <row r="662" spans="2:4" ht="15.75" customHeight="1" x14ac:dyDescent="0.25">
      <c r="B662" s="5"/>
      <c r="D662" s="31"/>
    </row>
    <row r="663" spans="2:4" ht="15.75" customHeight="1" x14ac:dyDescent="0.25">
      <c r="B663" s="5"/>
      <c r="D663" s="31"/>
    </row>
    <row r="664" spans="2:4" ht="15.75" customHeight="1" x14ac:dyDescent="0.25">
      <c r="B664" s="5"/>
      <c r="D664" s="31"/>
    </row>
    <row r="665" spans="2:4" ht="15.75" customHeight="1" x14ac:dyDescent="0.25">
      <c r="B665" s="5"/>
      <c r="D665" s="31"/>
    </row>
    <row r="666" spans="2:4" ht="15.75" customHeight="1" x14ac:dyDescent="0.25">
      <c r="B666" s="5"/>
      <c r="D666" s="31"/>
    </row>
    <row r="667" spans="2:4" ht="15.75" customHeight="1" x14ac:dyDescent="0.25">
      <c r="B667" s="5"/>
      <c r="D667" s="31"/>
    </row>
    <row r="668" spans="2:4" ht="15.75" customHeight="1" x14ac:dyDescent="0.25">
      <c r="B668" s="5"/>
      <c r="D668" s="31"/>
    </row>
    <row r="669" spans="2:4" ht="15.75" customHeight="1" x14ac:dyDescent="0.25">
      <c r="B669" s="5"/>
      <c r="D669" s="31"/>
    </row>
    <row r="670" spans="2:4" ht="15.75" customHeight="1" x14ac:dyDescent="0.25">
      <c r="B670" s="5"/>
      <c r="D670" s="31"/>
    </row>
    <row r="671" spans="2:4" ht="15.75" customHeight="1" x14ac:dyDescent="0.25">
      <c r="B671" s="5"/>
      <c r="D671" s="31"/>
    </row>
    <row r="672" spans="2:4" ht="15.75" customHeight="1" x14ac:dyDescent="0.25">
      <c r="B672" s="5"/>
      <c r="D672" s="31"/>
    </row>
    <row r="673" spans="2:4" ht="15.75" customHeight="1" x14ac:dyDescent="0.25">
      <c r="B673" s="5"/>
      <c r="D673" s="31"/>
    </row>
    <row r="674" spans="2:4" ht="15.75" customHeight="1" x14ac:dyDescent="0.25">
      <c r="B674" s="5"/>
      <c r="D674" s="31"/>
    </row>
    <row r="675" spans="2:4" ht="15.75" customHeight="1" x14ac:dyDescent="0.25">
      <c r="B675" s="5"/>
      <c r="D675" s="31"/>
    </row>
    <row r="676" spans="2:4" ht="15.75" customHeight="1" x14ac:dyDescent="0.25">
      <c r="B676" s="5"/>
      <c r="D676" s="31"/>
    </row>
    <row r="677" spans="2:4" ht="15.75" customHeight="1" x14ac:dyDescent="0.25">
      <c r="B677" s="5"/>
      <c r="D677" s="31"/>
    </row>
    <row r="678" spans="2:4" ht="15.75" customHeight="1" x14ac:dyDescent="0.25">
      <c r="B678" s="5"/>
      <c r="D678" s="31"/>
    </row>
    <row r="679" spans="2:4" ht="15.75" customHeight="1" x14ac:dyDescent="0.25">
      <c r="B679" s="5"/>
      <c r="D679" s="31"/>
    </row>
    <row r="680" spans="2:4" ht="15.75" customHeight="1" x14ac:dyDescent="0.25">
      <c r="B680" s="5"/>
      <c r="D680" s="31"/>
    </row>
    <row r="681" spans="2:4" ht="15.75" customHeight="1" x14ac:dyDescent="0.25">
      <c r="B681" s="5"/>
      <c r="D681" s="31"/>
    </row>
    <row r="682" spans="2:4" ht="15.75" customHeight="1" x14ac:dyDescent="0.25">
      <c r="B682" s="5"/>
      <c r="D682" s="31"/>
    </row>
    <row r="683" spans="2:4" ht="15.75" customHeight="1" x14ac:dyDescent="0.25">
      <c r="B683" s="5"/>
      <c r="D683" s="31"/>
    </row>
    <row r="684" spans="2:4" ht="15.75" customHeight="1" x14ac:dyDescent="0.25">
      <c r="B684" s="5"/>
      <c r="D684" s="31"/>
    </row>
    <row r="685" spans="2:4" ht="15.75" customHeight="1" x14ac:dyDescent="0.25">
      <c r="B685" s="5"/>
      <c r="D685" s="31"/>
    </row>
    <row r="686" spans="2:4" ht="15.75" customHeight="1" x14ac:dyDescent="0.25">
      <c r="B686" s="5"/>
      <c r="D686" s="31"/>
    </row>
    <row r="687" spans="2:4" ht="15.75" customHeight="1" x14ac:dyDescent="0.25">
      <c r="B687" s="5"/>
      <c r="D687" s="31"/>
    </row>
    <row r="688" spans="2:4" ht="15.75" customHeight="1" x14ac:dyDescent="0.25">
      <c r="B688" s="5"/>
      <c r="D688" s="31"/>
    </row>
    <row r="689" spans="2:4" ht="15.75" customHeight="1" x14ac:dyDescent="0.25">
      <c r="B689" s="5"/>
      <c r="D689" s="31"/>
    </row>
    <row r="690" spans="2:4" ht="15.75" customHeight="1" x14ac:dyDescent="0.25">
      <c r="B690" s="5"/>
      <c r="D690" s="31"/>
    </row>
    <row r="691" spans="2:4" ht="15.75" customHeight="1" x14ac:dyDescent="0.25">
      <c r="B691" s="5"/>
      <c r="D691" s="31"/>
    </row>
    <row r="692" spans="2:4" ht="15.75" customHeight="1" x14ac:dyDescent="0.25">
      <c r="B692" s="5"/>
      <c r="D692" s="31"/>
    </row>
    <row r="693" spans="2:4" ht="15.75" customHeight="1" x14ac:dyDescent="0.25">
      <c r="B693" s="5"/>
      <c r="D693" s="31"/>
    </row>
    <row r="694" spans="2:4" ht="15.75" customHeight="1" x14ac:dyDescent="0.25">
      <c r="B694" s="5"/>
      <c r="D694" s="31"/>
    </row>
    <row r="695" spans="2:4" ht="15.75" customHeight="1" x14ac:dyDescent="0.25">
      <c r="B695" s="5"/>
      <c r="D695" s="31"/>
    </row>
    <row r="696" spans="2:4" ht="15.75" customHeight="1" x14ac:dyDescent="0.25">
      <c r="B696" s="5"/>
      <c r="D696" s="31"/>
    </row>
    <row r="697" spans="2:4" ht="15.75" customHeight="1" x14ac:dyDescent="0.25">
      <c r="B697" s="5"/>
      <c r="D697" s="31"/>
    </row>
    <row r="698" spans="2:4" ht="15.75" customHeight="1" x14ac:dyDescent="0.25">
      <c r="B698" s="5"/>
      <c r="D698" s="31"/>
    </row>
    <row r="699" spans="2:4" ht="15.75" customHeight="1" x14ac:dyDescent="0.25">
      <c r="B699" s="5"/>
      <c r="D699" s="31"/>
    </row>
    <row r="700" spans="2:4" ht="15.75" customHeight="1" x14ac:dyDescent="0.25">
      <c r="B700" s="5"/>
      <c r="D700" s="31"/>
    </row>
    <row r="701" spans="2:4" ht="15.75" customHeight="1" x14ac:dyDescent="0.25">
      <c r="B701" s="5"/>
      <c r="D701" s="31"/>
    </row>
    <row r="702" spans="2:4" ht="15.75" customHeight="1" x14ac:dyDescent="0.25">
      <c r="B702" s="5"/>
      <c r="D702" s="31"/>
    </row>
    <row r="703" spans="2:4" ht="15.75" customHeight="1" x14ac:dyDescent="0.25">
      <c r="B703" s="5"/>
      <c r="D703" s="31"/>
    </row>
    <row r="704" spans="2:4" ht="15.75" customHeight="1" x14ac:dyDescent="0.25">
      <c r="B704" s="5"/>
      <c r="D704" s="31"/>
    </row>
    <row r="705" spans="2:4" ht="15.75" customHeight="1" x14ac:dyDescent="0.25">
      <c r="B705" s="5"/>
      <c r="D705" s="31"/>
    </row>
    <row r="706" spans="2:4" ht="15.75" customHeight="1" x14ac:dyDescent="0.25">
      <c r="B706" s="5"/>
      <c r="D706" s="31"/>
    </row>
    <row r="707" spans="2:4" ht="15.75" customHeight="1" x14ac:dyDescent="0.25">
      <c r="B707" s="5"/>
      <c r="D707" s="31"/>
    </row>
    <row r="708" spans="2:4" ht="15.75" customHeight="1" x14ac:dyDescent="0.25">
      <c r="B708" s="5"/>
      <c r="D708" s="31"/>
    </row>
    <row r="709" spans="2:4" ht="15.75" customHeight="1" x14ac:dyDescent="0.25">
      <c r="B709" s="5"/>
      <c r="D709" s="31"/>
    </row>
    <row r="710" spans="2:4" ht="15.75" customHeight="1" x14ac:dyDescent="0.25">
      <c r="B710" s="5"/>
      <c r="D710" s="31"/>
    </row>
    <row r="711" spans="2:4" ht="15.75" customHeight="1" x14ac:dyDescent="0.25">
      <c r="B711" s="5"/>
      <c r="D711" s="31"/>
    </row>
    <row r="712" spans="2:4" ht="15.75" customHeight="1" x14ac:dyDescent="0.25">
      <c r="B712" s="5"/>
      <c r="D712" s="31"/>
    </row>
    <row r="713" spans="2:4" ht="15.75" customHeight="1" x14ac:dyDescent="0.25">
      <c r="B713" s="5"/>
      <c r="D713" s="31"/>
    </row>
    <row r="714" spans="2:4" ht="15.75" customHeight="1" x14ac:dyDescent="0.25">
      <c r="B714" s="5"/>
      <c r="D714" s="31"/>
    </row>
    <row r="715" spans="2:4" ht="15.75" customHeight="1" x14ac:dyDescent="0.25">
      <c r="B715" s="5"/>
      <c r="D715" s="31"/>
    </row>
    <row r="716" spans="2:4" ht="15.75" customHeight="1" x14ac:dyDescent="0.25">
      <c r="B716" s="5"/>
      <c r="D716" s="31"/>
    </row>
    <row r="717" spans="2:4" ht="15.75" customHeight="1" x14ac:dyDescent="0.25">
      <c r="B717" s="5"/>
      <c r="D717" s="31"/>
    </row>
    <row r="718" spans="2:4" ht="15.75" customHeight="1" x14ac:dyDescent="0.25">
      <c r="B718" s="5"/>
      <c r="D718" s="31"/>
    </row>
    <row r="719" spans="2:4" ht="15.75" customHeight="1" x14ac:dyDescent="0.25">
      <c r="B719" s="5"/>
      <c r="D719" s="31"/>
    </row>
    <row r="720" spans="2:4" ht="15.75" customHeight="1" x14ac:dyDescent="0.25">
      <c r="B720" s="5"/>
      <c r="D720" s="31"/>
    </row>
    <row r="721" spans="2:4" ht="15.75" customHeight="1" x14ac:dyDescent="0.25">
      <c r="B721" s="5"/>
      <c r="D721" s="31"/>
    </row>
    <row r="722" spans="2:4" ht="15.75" customHeight="1" x14ac:dyDescent="0.25">
      <c r="B722" s="5"/>
      <c r="D722" s="31"/>
    </row>
    <row r="723" spans="2:4" ht="15.75" customHeight="1" x14ac:dyDescent="0.25">
      <c r="B723" s="5"/>
      <c r="D723" s="31"/>
    </row>
    <row r="724" spans="2:4" ht="15.75" customHeight="1" x14ac:dyDescent="0.25">
      <c r="B724" s="5"/>
      <c r="D724" s="31"/>
    </row>
    <row r="725" spans="2:4" ht="15.75" customHeight="1" x14ac:dyDescent="0.25">
      <c r="B725" s="5"/>
      <c r="D725" s="31"/>
    </row>
    <row r="726" spans="2:4" ht="15.75" customHeight="1" x14ac:dyDescent="0.25">
      <c r="B726" s="5"/>
      <c r="D726" s="31"/>
    </row>
    <row r="727" spans="2:4" ht="15.75" customHeight="1" x14ac:dyDescent="0.25">
      <c r="B727" s="5"/>
      <c r="D727" s="31"/>
    </row>
    <row r="728" spans="2:4" ht="15.75" customHeight="1" x14ac:dyDescent="0.25">
      <c r="B728" s="5"/>
      <c r="D728" s="31"/>
    </row>
    <row r="729" spans="2:4" ht="15.75" customHeight="1" x14ac:dyDescent="0.25">
      <c r="B729" s="5"/>
      <c r="D729" s="31"/>
    </row>
    <row r="730" spans="2:4" ht="15.75" customHeight="1" x14ac:dyDescent="0.25">
      <c r="B730" s="5"/>
      <c r="D730" s="31"/>
    </row>
    <row r="731" spans="2:4" ht="15.75" customHeight="1" x14ac:dyDescent="0.25">
      <c r="B731" s="5"/>
      <c r="D731" s="31"/>
    </row>
    <row r="732" spans="2:4" ht="15.75" customHeight="1" x14ac:dyDescent="0.25">
      <c r="B732" s="5"/>
      <c r="D732" s="31"/>
    </row>
    <row r="733" spans="2:4" ht="15.75" customHeight="1" x14ac:dyDescent="0.25">
      <c r="B733" s="5"/>
      <c r="D733" s="31"/>
    </row>
    <row r="734" spans="2:4" ht="15.75" customHeight="1" x14ac:dyDescent="0.25">
      <c r="B734" s="5"/>
      <c r="D734" s="31"/>
    </row>
    <row r="735" spans="2:4" ht="15.75" customHeight="1" x14ac:dyDescent="0.25">
      <c r="B735" s="5"/>
      <c r="D735" s="31"/>
    </row>
    <row r="736" spans="2:4" ht="15.75" customHeight="1" x14ac:dyDescent="0.25">
      <c r="B736" s="5"/>
      <c r="D736" s="31"/>
    </row>
    <row r="737" spans="2:4" ht="15.75" customHeight="1" x14ac:dyDescent="0.25">
      <c r="B737" s="5"/>
      <c r="D737" s="31"/>
    </row>
    <row r="738" spans="2:4" ht="15.75" customHeight="1" x14ac:dyDescent="0.25">
      <c r="B738" s="5"/>
      <c r="D738" s="31"/>
    </row>
    <row r="739" spans="2:4" ht="15.75" customHeight="1" x14ac:dyDescent="0.25">
      <c r="B739" s="5"/>
      <c r="D739" s="31"/>
    </row>
    <row r="740" spans="2:4" ht="15.75" customHeight="1" x14ac:dyDescent="0.25">
      <c r="B740" s="5"/>
      <c r="D740" s="31"/>
    </row>
    <row r="741" spans="2:4" ht="15.75" customHeight="1" x14ac:dyDescent="0.25">
      <c r="B741" s="5"/>
      <c r="D741" s="31"/>
    </row>
    <row r="742" spans="2:4" ht="15.75" customHeight="1" x14ac:dyDescent="0.25">
      <c r="B742" s="5"/>
      <c r="D742" s="31"/>
    </row>
    <row r="743" spans="2:4" ht="15.75" customHeight="1" x14ac:dyDescent="0.25">
      <c r="B743" s="5"/>
      <c r="D743" s="31"/>
    </row>
    <row r="744" spans="2:4" ht="15.75" customHeight="1" x14ac:dyDescent="0.25">
      <c r="B744" s="5"/>
      <c r="D744" s="31"/>
    </row>
    <row r="745" spans="2:4" ht="15.75" customHeight="1" x14ac:dyDescent="0.25">
      <c r="B745" s="5"/>
      <c r="D745" s="31"/>
    </row>
    <row r="746" spans="2:4" ht="15.75" customHeight="1" x14ac:dyDescent="0.25">
      <c r="B746" s="5"/>
      <c r="D746" s="31"/>
    </row>
    <row r="747" spans="2:4" ht="15.75" customHeight="1" x14ac:dyDescent="0.25">
      <c r="B747" s="5"/>
      <c r="D747" s="31"/>
    </row>
    <row r="748" spans="2:4" ht="15.75" customHeight="1" x14ac:dyDescent="0.25">
      <c r="B748" s="5"/>
      <c r="D748" s="31"/>
    </row>
    <row r="749" spans="2:4" ht="15.75" customHeight="1" x14ac:dyDescent="0.25">
      <c r="B749" s="5"/>
      <c r="D749" s="31"/>
    </row>
    <row r="750" spans="2:4" ht="15.75" customHeight="1" x14ac:dyDescent="0.25">
      <c r="B750" s="5"/>
      <c r="D750" s="31"/>
    </row>
    <row r="751" spans="2:4" ht="15.75" customHeight="1" x14ac:dyDescent="0.25">
      <c r="B751" s="5"/>
      <c r="D751" s="31"/>
    </row>
    <row r="752" spans="2:4" ht="15.75" customHeight="1" x14ac:dyDescent="0.25">
      <c r="B752" s="5"/>
      <c r="D752" s="31"/>
    </row>
    <row r="753" spans="2:4" ht="15.75" customHeight="1" x14ac:dyDescent="0.25">
      <c r="B753" s="5"/>
      <c r="D753" s="31"/>
    </row>
    <row r="754" spans="2:4" ht="15.75" customHeight="1" x14ac:dyDescent="0.25">
      <c r="B754" s="5"/>
      <c r="D754" s="31"/>
    </row>
    <row r="755" spans="2:4" ht="15.75" customHeight="1" x14ac:dyDescent="0.25">
      <c r="B755" s="5"/>
      <c r="D755" s="31"/>
    </row>
    <row r="756" spans="2:4" ht="15.75" customHeight="1" x14ac:dyDescent="0.25">
      <c r="B756" s="5"/>
      <c r="D756" s="31"/>
    </row>
    <row r="757" spans="2:4" ht="15.75" customHeight="1" x14ac:dyDescent="0.25">
      <c r="B757" s="5"/>
      <c r="D757" s="31"/>
    </row>
    <row r="758" spans="2:4" ht="15.75" customHeight="1" x14ac:dyDescent="0.25">
      <c r="B758" s="5"/>
      <c r="D758" s="31"/>
    </row>
    <row r="759" spans="2:4" ht="15.75" customHeight="1" x14ac:dyDescent="0.25">
      <c r="B759" s="5"/>
      <c r="D759" s="31"/>
    </row>
    <row r="760" spans="2:4" ht="15.75" customHeight="1" x14ac:dyDescent="0.25">
      <c r="B760" s="5"/>
      <c r="D760" s="31"/>
    </row>
    <row r="761" spans="2:4" ht="15.75" customHeight="1" x14ac:dyDescent="0.25">
      <c r="B761" s="5"/>
      <c r="D761" s="31"/>
    </row>
    <row r="762" spans="2:4" ht="15.75" customHeight="1" x14ac:dyDescent="0.25">
      <c r="B762" s="5"/>
      <c r="D762" s="31"/>
    </row>
    <row r="763" spans="2:4" ht="15.75" customHeight="1" x14ac:dyDescent="0.25">
      <c r="B763" s="5"/>
      <c r="D763" s="31"/>
    </row>
    <row r="764" spans="2:4" ht="15.75" customHeight="1" x14ac:dyDescent="0.25">
      <c r="B764" s="5"/>
      <c r="D764" s="31"/>
    </row>
    <row r="765" spans="2:4" ht="15.75" customHeight="1" x14ac:dyDescent="0.25">
      <c r="B765" s="5"/>
      <c r="D765" s="31"/>
    </row>
    <row r="766" spans="2:4" ht="15.75" customHeight="1" x14ac:dyDescent="0.25">
      <c r="B766" s="5"/>
      <c r="D766" s="31"/>
    </row>
    <row r="767" spans="2:4" ht="15.75" customHeight="1" x14ac:dyDescent="0.25">
      <c r="B767" s="5"/>
      <c r="D767" s="31"/>
    </row>
    <row r="768" spans="2:4" ht="15.75" customHeight="1" x14ac:dyDescent="0.25">
      <c r="B768" s="5"/>
      <c r="D768" s="31"/>
    </row>
    <row r="769" spans="2:4" ht="15.75" customHeight="1" x14ac:dyDescent="0.25">
      <c r="B769" s="5"/>
      <c r="D769" s="31"/>
    </row>
    <row r="770" spans="2:4" ht="15.75" customHeight="1" x14ac:dyDescent="0.25">
      <c r="B770" s="5"/>
      <c r="D770" s="31"/>
    </row>
    <row r="771" spans="2:4" ht="15.75" customHeight="1" x14ac:dyDescent="0.25">
      <c r="B771" s="5"/>
      <c r="D771" s="31"/>
    </row>
    <row r="772" spans="2:4" ht="15.75" customHeight="1" x14ac:dyDescent="0.25">
      <c r="B772" s="5"/>
      <c r="D772" s="31"/>
    </row>
    <row r="773" spans="2:4" ht="15.75" customHeight="1" x14ac:dyDescent="0.25">
      <c r="B773" s="5"/>
      <c r="D773" s="31"/>
    </row>
    <row r="774" spans="2:4" ht="15.75" customHeight="1" x14ac:dyDescent="0.25">
      <c r="B774" s="5"/>
      <c r="D774" s="31"/>
    </row>
    <row r="775" spans="2:4" ht="15.75" customHeight="1" x14ac:dyDescent="0.25">
      <c r="B775" s="5"/>
      <c r="D775" s="31"/>
    </row>
    <row r="776" spans="2:4" ht="15.75" customHeight="1" x14ac:dyDescent="0.25">
      <c r="B776" s="5"/>
      <c r="D776" s="31"/>
    </row>
    <row r="777" spans="2:4" ht="15.75" customHeight="1" x14ac:dyDescent="0.25">
      <c r="B777" s="5"/>
      <c r="D777" s="31"/>
    </row>
    <row r="778" spans="2:4" ht="15.75" customHeight="1" x14ac:dyDescent="0.25">
      <c r="B778" s="5"/>
      <c r="D778" s="31"/>
    </row>
    <row r="779" spans="2:4" ht="15.75" customHeight="1" x14ac:dyDescent="0.25">
      <c r="B779" s="5"/>
      <c r="D779" s="31"/>
    </row>
    <row r="780" spans="2:4" ht="15.75" customHeight="1" x14ac:dyDescent="0.25">
      <c r="B780" s="5"/>
      <c r="D780" s="31"/>
    </row>
    <row r="781" spans="2:4" ht="15.75" customHeight="1" x14ac:dyDescent="0.25">
      <c r="B781" s="5"/>
      <c r="D781" s="31"/>
    </row>
    <row r="782" spans="2:4" ht="15.75" customHeight="1" x14ac:dyDescent="0.25">
      <c r="B782" s="5"/>
      <c r="D782" s="31"/>
    </row>
    <row r="783" spans="2:4" ht="15.75" customHeight="1" x14ac:dyDescent="0.25">
      <c r="B783" s="5"/>
      <c r="D783" s="31"/>
    </row>
    <row r="784" spans="2:4" ht="15.75" customHeight="1" x14ac:dyDescent="0.25">
      <c r="B784" s="5"/>
      <c r="D784" s="31"/>
    </row>
    <row r="785" spans="2:4" ht="15.75" customHeight="1" x14ac:dyDescent="0.25">
      <c r="B785" s="5"/>
      <c r="D785" s="31"/>
    </row>
    <row r="786" spans="2:4" ht="15.75" customHeight="1" x14ac:dyDescent="0.25">
      <c r="B786" s="5"/>
      <c r="D786" s="31"/>
    </row>
    <row r="787" spans="2:4" ht="15.75" customHeight="1" x14ac:dyDescent="0.25">
      <c r="B787" s="5"/>
      <c r="D787" s="31"/>
    </row>
    <row r="788" spans="2:4" ht="15.75" customHeight="1" x14ac:dyDescent="0.25">
      <c r="B788" s="5"/>
      <c r="D788" s="31"/>
    </row>
    <row r="789" spans="2:4" ht="15.75" customHeight="1" x14ac:dyDescent="0.25">
      <c r="B789" s="5"/>
      <c r="D789" s="31"/>
    </row>
    <row r="790" spans="2:4" ht="15.75" customHeight="1" x14ac:dyDescent="0.25">
      <c r="B790" s="5"/>
      <c r="D790" s="31"/>
    </row>
    <row r="791" spans="2:4" ht="15.75" customHeight="1" x14ac:dyDescent="0.25">
      <c r="B791" s="5"/>
      <c r="D791" s="31"/>
    </row>
    <row r="792" spans="2:4" ht="15.75" customHeight="1" x14ac:dyDescent="0.25">
      <c r="B792" s="5"/>
      <c r="D792" s="31"/>
    </row>
    <row r="793" spans="2:4" ht="15.75" customHeight="1" x14ac:dyDescent="0.25">
      <c r="B793" s="5"/>
      <c r="D793" s="31"/>
    </row>
    <row r="794" spans="2:4" ht="15.75" customHeight="1" x14ac:dyDescent="0.25">
      <c r="B794" s="5"/>
      <c r="D794" s="31"/>
    </row>
    <row r="795" spans="2:4" ht="15.75" customHeight="1" x14ac:dyDescent="0.25">
      <c r="B795" s="5"/>
      <c r="D795" s="31"/>
    </row>
    <row r="796" spans="2:4" ht="15.75" customHeight="1" x14ac:dyDescent="0.25">
      <c r="B796" s="5"/>
      <c r="D796" s="31"/>
    </row>
    <row r="797" spans="2:4" ht="15.75" customHeight="1" x14ac:dyDescent="0.25">
      <c r="B797" s="5"/>
      <c r="D797" s="31"/>
    </row>
    <row r="798" spans="2:4" ht="15.75" customHeight="1" x14ac:dyDescent="0.25">
      <c r="B798" s="5"/>
      <c r="D798" s="31"/>
    </row>
    <row r="799" spans="2:4" ht="15.75" customHeight="1" x14ac:dyDescent="0.25">
      <c r="B799" s="5"/>
      <c r="D799" s="31"/>
    </row>
    <row r="800" spans="2:4" ht="15.75" customHeight="1" x14ac:dyDescent="0.25">
      <c r="B800" s="5"/>
      <c r="D800" s="31"/>
    </row>
    <row r="801" spans="2:4" ht="15.75" customHeight="1" x14ac:dyDescent="0.25">
      <c r="B801" s="5"/>
      <c r="D801" s="31"/>
    </row>
    <row r="802" spans="2:4" ht="15.75" customHeight="1" x14ac:dyDescent="0.25">
      <c r="B802" s="5"/>
      <c r="D802" s="31"/>
    </row>
    <row r="803" spans="2:4" ht="15.75" customHeight="1" x14ac:dyDescent="0.25">
      <c r="B803" s="5"/>
      <c r="D803" s="31"/>
    </row>
    <row r="804" spans="2:4" ht="15.75" customHeight="1" x14ac:dyDescent="0.25">
      <c r="B804" s="5"/>
      <c r="D804" s="31"/>
    </row>
    <row r="805" spans="2:4" ht="15.75" customHeight="1" x14ac:dyDescent="0.25">
      <c r="B805" s="5"/>
      <c r="D805" s="31"/>
    </row>
    <row r="806" spans="2:4" ht="15.75" customHeight="1" x14ac:dyDescent="0.25">
      <c r="B806" s="5"/>
      <c r="D806" s="31"/>
    </row>
    <row r="807" spans="2:4" ht="15.75" customHeight="1" x14ac:dyDescent="0.25">
      <c r="B807" s="5"/>
      <c r="D807" s="31"/>
    </row>
    <row r="808" spans="2:4" ht="15.75" customHeight="1" x14ac:dyDescent="0.25">
      <c r="B808" s="5"/>
      <c r="D808" s="31"/>
    </row>
    <row r="809" spans="2:4" ht="15.75" customHeight="1" x14ac:dyDescent="0.25">
      <c r="B809" s="5"/>
      <c r="D809" s="31"/>
    </row>
    <row r="810" spans="2:4" ht="15.75" customHeight="1" x14ac:dyDescent="0.25">
      <c r="B810" s="5"/>
      <c r="D810" s="31"/>
    </row>
    <row r="811" spans="2:4" ht="15.75" customHeight="1" x14ac:dyDescent="0.25">
      <c r="B811" s="5"/>
      <c r="D811" s="31"/>
    </row>
    <row r="812" spans="2:4" ht="15.75" customHeight="1" x14ac:dyDescent="0.25">
      <c r="B812" s="5"/>
      <c r="D812" s="31"/>
    </row>
    <row r="813" spans="2:4" ht="15.75" customHeight="1" x14ac:dyDescent="0.25">
      <c r="B813" s="5"/>
      <c r="D813" s="31"/>
    </row>
    <row r="814" spans="2:4" ht="15.75" customHeight="1" x14ac:dyDescent="0.25">
      <c r="B814" s="5"/>
      <c r="D814" s="31"/>
    </row>
    <row r="815" spans="2:4" ht="15.75" customHeight="1" x14ac:dyDescent="0.25">
      <c r="B815" s="5"/>
      <c r="D815" s="31"/>
    </row>
    <row r="816" spans="2:4" ht="15.75" customHeight="1" x14ac:dyDescent="0.25">
      <c r="B816" s="5"/>
      <c r="D816" s="31"/>
    </row>
    <row r="817" spans="2:4" ht="15.75" customHeight="1" x14ac:dyDescent="0.25">
      <c r="B817" s="5"/>
      <c r="D817" s="31"/>
    </row>
    <row r="818" spans="2:4" ht="15.75" customHeight="1" x14ac:dyDescent="0.25">
      <c r="B818" s="5"/>
      <c r="D818" s="31"/>
    </row>
    <row r="819" spans="2:4" ht="15.75" customHeight="1" x14ac:dyDescent="0.25">
      <c r="B819" s="5"/>
      <c r="D819" s="31"/>
    </row>
    <row r="820" spans="2:4" ht="15.75" customHeight="1" x14ac:dyDescent="0.25">
      <c r="B820" s="5"/>
      <c r="D820" s="31"/>
    </row>
    <row r="821" spans="2:4" ht="15.75" customHeight="1" x14ac:dyDescent="0.25">
      <c r="B821" s="5"/>
      <c r="D821" s="31"/>
    </row>
    <row r="822" spans="2:4" ht="15.75" customHeight="1" x14ac:dyDescent="0.25">
      <c r="B822" s="5"/>
      <c r="D822" s="31"/>
    </row>
    <row r="823" spans="2:4" ht="15.75" customHeight="1" x14ac:dyDescent="0.25">
      <c r="B823" s="5"/>
      <c r="D823" s="31"/>
    </row>
    <row r="824" spans="2:4" ht="15.75" customHeight="1" x14ac:dyDescent="0.25">
      <c r="B824" s="5"/>
      <c r="D824" s="31"/>
    </row>
    <row r="825" spans="2:4" ht="15.75" customHeight="1" x14ac:dyDescent="0.25">
      <c r="B825" s="5"/>
      <c r="D825" s="31"/>
    </row>
    <row r="826" spans="2:4" ht="15.75" customHeight="1" x14ac:dyDescent="0.25">
      <c r="B826" s="5"/>
      <c r="D826" s="31"/>
    </row>
    <row r="827" spans="2:4" ht="15.75" customHeight="1" x14ac:dyDescent="0.25">
      <c r="B827" s="5"/>
      <c r="D827" s="31"/>
    </row>
    <row r="828" spans="2:4" ht="15.75" customHeight="1" x14ac:dyDescent="0.25">
      <c r="B828" s="5"/>
      <c r="D828" s="31"/>
    </row>
    <row r="829" spans="2:4" ht="15.75" customHeight="1" x14ac:dyDescent="0.25">
      <c r="B829" s="5"/>
      <c r="D829" s="31"/>
    </row>
    <row r="830" spans="2:4" ht="15.75" customHeight="1" x14ac:dyDescent="0.25">
      <c r="B830" s="5"/>
      <c r="D830" s="31"/>
    </row>
    <row r="831" spans="2:4" ht="15.75" customHeight="1" x14ac:dyDescent="0.25">
      <c r="B831" s="5"/>
      <c r="D831" s="31"/>
    </row>
    <row r="832" spans="2:4" ht="15.75" customHeight="1" x14ac:dyDescent="0.25">
      <c r="B832" s="5"/>
      <c r="D832" s="31"/>
    </row>
    <row r="833" spans="2:4" ht="15.75" customHeight="1" x14ac:dyDescent="0.25">
      <c r="B833" s="5"/>
      <c r="D833" s="31"/>
    </row>
    <row r="834" spans="2:4" ht="15.75" customHeight="1" x14ac:dyDescent="0.25">
      <c r="B834" s="5"/>
      <c r="D834" s="31"/>
    </row>
    <row r="835" spans="2:4" ht="15.75" customHeight="1" x14ac:dyDescent="0.25">
      <c r="B835" s="5"/>
      <c r="D835" s="31"/>
    </row>
    <row r="836" spans="2:4" ht="15.75" customHeight="1" x14ac:dyDescent="0.25">
      <c r="B836" s="5"/>
      <c r="D836" s="31"/>
    </row>
    <row r="837" spans="2:4" ht="15.75" customHeight="1" x14ac:dyDescent="0.25">
      <c r="B837" s="5"/>
      <c r="D837" s="31"/>
    </row>
    <row r="838" spans="2:4" ht="15.75" customHeight="1" x14ac:dyDescent="0.25">
      <c r="B838" s="5"/>
      <c r="D838" s="31"/>
    </row>
    <row r="839" spans="2:4" ht="15.75" customHeight="1" x14ac:dyDescent="0.25">
      <c r="B839" s="5"/>
      <c r="D839" s="31"/>
    </row>
    <row r="840" spans="2:4" ht="15.75" customHeight="1" x14ac:dyDescent="0.25">
      <c r="B840" s="5"/>
      <c r="D840" s="31"/>
    </row>
    <row r="841" spans="2:4" ht="15.75" customHeight="1" x14ac:dyDescent="0.25">
      <c r="B841" s="5"/>
      <c r="D841" s="31"/>
    </row>
    <row r="842" spans="2:4" ht="15.75" customHeight="1" x14ac:dyDescent="0.25">
      <c r="B842" s="5"/>
      <c r="D842" s="31"/>
    </row>
    <row r="843" spans="2:4" ht="15.75" customHeight="1" x14ac:dyDescent="0.25">
      <c r="B843" s="5"/>
      <c r="D843" s="31"/>
    </row>
    <row r="844" spans="2:4" ht="15.75" customHeight="1" x14ac:dyDescent="0.25">
      <c r="B844" s="5"/>
      <c r="D844" s="31"/>
    </row>
    <row r="845" spans="2:4" ht="15.75" customHeight="1" x14ac:dyDescent="0.25">
      <c r="B845" s="5"/>
      <c r="D845" s="31"/>
    </row>
    <row r="846" spans="2:4" ht="15.75" customHeight="1" x14ac:dyDescent="0.25">
      <c r="B846" s="5"/>
      <c r="D846" s="31"/>
    </row>
    <row r="847" spans="2:4" ht="15.75" customHeight="1" x14ac:dyDescent="0.25">
      <c r="B847" s="5"/>
      <c r="D847" s="31"/>
    </row>
    <row r="848" spans="2:4" ht="15.75" customHeight="1" x14ac:dyDescent="0.25">
      <c r="B848" s="5"/>
      <c r="D848" s="31"/>
    </row>
    <row r="849" spans="2:4" ht="15.75" customHeight="1" x14ac:dyDescent="0.25">
      <c r="B849" s="5"/>
      <c r="D849" s="31"/>
    </row>
    <row r="850" spans="2:4" ht="15.75" customHeight="1" x14ac:dyDescent="0.25">
      <c r="B850" s="5"/>
      <c r="D850" s="31"/>
    </row>
    <row r="851" spans="2:4" ht="15.75" customHeight="1" x14ac:dyDescent="0.25">
      <c r="B851" s="5"/>
      <c r="D851" s="31"/>
    </row>
    <row r="852" spans="2:4" ht="15.75" customHeight="1" x14ac:dyDescent="0.25">
      <c r="B852" s="5"/>
      <c r="D852" s="31"/>
    </row>
    <row r="853" spans="2:4" ht="15.75" customHeight="1" x14ac:dyDescent="0.25">
      <c r="B853" s="5"/>
      <c r="D853" s="31"/>
    </row>
    <row r="854" spans="2:4" ht="15.75" customHeight="1" x14ac:dyDescent="0.25">
      <c r="B854" s="5"/>
      <c r="D854" s="31"/>
    </row>
    <row r="855" spans="2:4" ht="15.75" customHeight="1" x14ac:dyDescent="0.25">
      <c r="B855" s="5"/>
      <c r="D855" s="31"/>
    </row>
    <row r="856" spans="2:4" ht="15.75" customHeight="1" x14ac:dyDescent="0.25">
      <c r="B856" s="5"/>
      <c r="D856" s="31"/>
    </row>
    <row r="857" spans="2:4" ht="15.75" customHeight="1" x14ac:dyDescent="0.25">
      <c r="B857" s="5"/>
      <c r="D857" s="31"/>
    </row>
    <row r="858" spans="2:4" ht="15.75" customHeight="1" x14ac:dyDescent="0.25">
      <c r="B858" s="5"/>
      <c r="D858" s="31"/>
    </row>
    <row r="859" spans="2:4" ht="15.75" customHeight="1" x14ac:dyDescent="0.25">
      <c r="B859" s="5"/>
      <c r="D859" s="31"/>
    </row>
    <row r="860" spans="2:4" ht="15.75" customHeight="1" x14ac:dyDescent="0.25">
      <c r="B860" s="5"/>
      <c r="D860" s="31"/>
    </row>
    <row r="861" spans="2:4" ht="15.75" customHeight="1" x14ac:dyDescent="0.25">
      <c r="B861" s="5"/>
      <c r="D861" s="31"/>
    </row>
    <row r="862" spans="2:4" ht="15.75" customHeight="1" x14ac:dyDescent="0.25">
      <c r="B862" s="5"/>
      <c r="D862" s="31"/>
    </row>
    <row r="863" spans="2:4" ht="15.75" customHeight="1" x14ac:dyDescent="0.25">
      <c r="B863" s="5"/>
      <c r="D863" s="31"/>
    </row>
    <row r="864" spans="2:4" ht="15.75" customHeight="1" x14ac:dyDescent="0.25">
      <c r="B864" s="5"/>
      <c r="D864" s="31"/>
    </row>
    <row r="865" spans="2:4" ht="15.75" customHeight="1" x14ac:dyDescent="0.25">
      <c r="B865" s="5"/>
      <c r="D865" s="31"/>
    </row>
    <row r="866" spans="2:4" ht="15.75" customHeight="1" x14ac:dyDescent="0.25">
      <c r="B866" s="5"/>
      <c r="D866" s="31"/>
    </row>
    <row r="867" spans="2:4" ht="15.75" customHeight="1" x14ac:dyDescent="0.25">
      <c r="B867" s="5"/>
      <c r="D867" s="31"/>
    </row>
    <row r="868" spans="2:4" ht="15.75" customHeight="1" x14ac:dyDescent="0.25">
      <c r="B868" s="5"/>
      <c r="D868" s="31"/>
    </row>
    <row r="869" spans="2:4" ht="15.75" customHeight="1" x14ac:dyDescent="0.25">
      <c r="B869" s="5"/>
      <c r="D869" s="31"/>
    </row>
    <row r="870" spans="2:4" ht="15.75" customHeight="1" x14ac:dyDescent="0.25">
      <c r="B870" s="5"/>
      <c r="D870" s="31"/>
    </row>
    <row r="871" spans="2:4" ht="15.75" customHeight="1" x14ac:dyDescent="0.25">
      <c r="B871" s="5"/>
      <c r="D871" s="31"/>
    </row>
    <row r="872" spans="2:4" ht="15.75" customHeight="1" x14ac:dyDescent="0.25">
      <c r="B872" s="5"/>
      <c r="D872" s="31"/>
    </row>
    <row r="873" spans="2:4" ht="15.75" customHeight="1" x14ac:dyDescent="0.25">
      <c r="B873" s="5"/>
      <c r="D873" s="31"/>
    </row>
    <row r="874" spans="2:4" ht="15.75" customHeight="1" x14ac:dyDescent="0.25">
      <c r="B874" s="5"/>
      <c r="D874" s="31"/>
    </row>
    <row r="875" spans="2:4" ht="15.75" customHeight="1" x14ac:dyDescent="0.25">
      <c r="B875" s="5"/>
      <c r="D875" s="31"/>
    </row>
    <row r="876" spans="2:4" ht="15.75" customHeight="1" x14ac:dyDescent="0.25">
      <c r="B876" s="5"/>
      <c r="D876" s="31"/>
    </row>
    <row r="877" spans="2:4" ht="15.75" customHeight="1" x14ac:dyDescent="0.25">
      <c r="B877" s="5"/>
      <c r="D877" s="31"/>
    </row>
    <row r="878" spans="2:4" ht="15.75" customHeight="1" x14ac:dyDescent="0.25">
      <c r="B878" s="5"/>
      <c r="D878" s="31"/>
    </row>
    <row r="879" spans="2:4" ht="15.75" customHeight="1" x14ac:dyDescent="0.25">
      <c r="B879" s="5"/>
      <c r="D879" s="31"/>
    </row>
    <row r="880" spans="2:4" ht="15.75" customHeight="1" x14ac:dyDescent="0.25">
      <c r="B880" s="5"/>
      <c r="D880" s="31"/>
    </row>
    <row r="881" spans="2:4" ht="15.75" customHeight="1" x14ac:dyDescent="0.25">
      <c r="B881" s="5"/>
      <c r="D881" s="31"/>
    </row>
    <row r="882" spans="2:4" ht="15.75" customHeight="1" x14ac:dyDescent="0.25">
      <c r="B882" s="5"/>
      <c r="D882" s="31"/>
    </row>
    <row r="883" spans="2:4" ht="15.75" customHeight="1" x14ac:dyDescent="0.25">
      <c r="B883" s="5"/>
      <c r="D883" s="31"/>
    </row>
    <row r="884" spans="2:4" ht="15.75" customHeight="1" x14ac:dyDescent="0.25">
      <c r="B884" s="5"/>
      <c r="D884" s="31"/>
    </row>
    <row r="885" spans="2:4" ht="15.75" customHeight="1" x14ac:dyDescent="0.25">
      <c r="B885" s="5"/>
      <c r="D885" s="31"/>
    </row>
    <row r="886" spans="2:4" ht="15.75" customHeight="1" x14ac:dyDescent="0.25">
      <c r="B886" s="5"/>
      <c r="D886" s="31"/>
    </row>
    <row r="887" spans="2:4" ht="15.75" customHeight="1" x14ac:dyDescent="0.25">
      <c r="B887" s="5"/>
      <c r="D887" s="31"/>
    </row>
    <row r="888" spans="2:4" ht="15.75" customHeight="1" x14ac:dyDescent="0.25">
      <c r="B888" s="5"/>
      <c r="D888" s="31"/>
    </row>
    <row r="889" spans="2:4" ht="15.75" customHeight="1" x14ac:dyDescent="0.25">
      <c r="B889" s="5"/>
      <c r="D889" s="31"/>
    </row>
    <row r="890" spans="2:4" ht="15.75" customHeight="1" x14ac:dyDescent="0.25">
      <c r="B890" s="5"/>
      <c r="D890" s="31"/>
    </row>
    <row r="891" spans="2:4" ht="15.75" customHeight="1" x14ac:dyDescent="0.25">
      <c r="B891" s="5"/>
      <c r="D891" s="31"/>
    </row>
    <row r="892" spans="2:4" ht="15.75" customHeight="1" x14ac:dyDescent="0.25">
      <c r="B892" s="5"/>
      <c r="D892" s="31"/>
    </row>
    <row r="893" spans="2:4" ht="15.75" customHeight="1" x14ac:dyDescent="0.25">
      <c r="B893" s="5"/>
      <c r="D893" s="31"/>
    </row>
    <row r="894" spans="2:4" ht="15.75" customHeight="1" x14ac:dyDescent="0.25">
      <c r="B894" s="5"/>
      <c r="D894" s="31"/>
    </row>
    <row r="895" spans="2:4" ht="15.75" customHeight="1" x14ac:dyDescent="0.25">
      <c r="B895" s="5"/>
      <c r="D895" s="31"/>
    </row>
    <row r="896" spans="2:4" ht="15.75" customHeight="1" x14ac:dyDescent="0.25">
      <c r="B896" s="5"/>
      <c r="D896" s="31"/>
    </row>
    <row r="897" spans="2:4" ht="15.75" customHeight="1" x14ac:dyDescent="0.25">
      <c r="B897" s="5"/>
      <c r="D897" s="31"/>
    </row>
    <row r="898" spans="2:4" ht="15.75" customHeight="1" x14ac:dyDescent="0.25">
      <c r="B898" s="5"/>
      <c r="D898" s="31"/>
    </row>
    <row r="899" spans="2:4" ht="15.75" customHeight="1" x14ac:dyDescent="0.25">
      <c r="B899" s="5"/>
      <c r="D899" s="31"/>
    </row>
    <row r="900" spans="2:4" ht="15.75" customHeight="1" x14ac:dyDescent="0.25">
      <c r="B900" s="5"/>
      <c r="D900" s="31"/>
    </row>
    <row r="901" spans="2:4" ht="15.75" customHeight="1" x14ac:dyDescent="0.25">
      <c r="B901" s="5"/>
      <c r="D901" s="31"/>
    </row>
    <row r="902" spans="2:4" ht="15.75" customHeight="1" x14ac:dyDescent="0.25">
      <c r="B902" s="5"/>
      <c r="D902" s="31"/>
    </row>
    <row r="903" spans="2:4" ht="15.75" customHeight="1" x14ac:dyDescent="0.25">
      <c r="B903" s="5"/>
      <c r="D903" s="31"/>
    </row>
    <row r="904" spans="2:4" ht="15.75" customHeight="1" x14ac:dyDescent="0.25">
      <c r="B904" s="5"/>
      <c r="D904" s="31"/>
    </row>
    <row r="905" spans="2:4" ht="15.75" customHeight="1" x14ac:dyDescent="0.25">
      <c r="B905" s="5"/>
      <c r="D905" s="31"/>
    </row>
    <row r="906" spans="2:4" ht="15.75" customHeight="1" x14ac:dyDescent="0.25">
      <c r="B906" s="5"/>
      <c r="D906" s="31"/>
    </row>
    <row r="907" spans="2:4" ht="15.75" customHeight="1" x14ac:dyDescent="0.25">
      <c r="B907" s="5"/>
      <c r="D907" s="31"/>
    </row>
    <row r="908" spans="2:4" ht="15.75" customHeight="1" x14ac:dyDescent="0.25">
      <c r="B908" s="5"/>
      <c r="D908" s="31"/>
    </row>
    <row r="909" spans="2:4" ht="15.75" customHeight="1" x14ac:dyDescent="0.25">
      <c r="B909" s="5"/>
      <c r="D909" s="31"/>
    </row>
    <row r="910" spans="2:4" ht="15.75" customHeight="1" x14ac:dyDescent="0.25">
      <c r="B910" s="5"/>
      <c r="D910" s="31"/>
    </row>
    <row r="911" spans="2:4" ht="15.75" customHeight="1" x14ac:dyDescent="0.25">
      <c r="B911" s="5"/>
      <c r="D911" s="31"/>
    </row>
    <row r="912" spans="2:4" ht="15.75" customHeight="1" x14ac:dyDescent="0.25">
      <c r="B912" s="5"/>
      <c r="D912" s="31"/>
    </row>
    <row r="913" spans="2:4" ht="15.75" customHeight="1" x14ac:dyDescent="0.25">
      <c r="B913" s="5"/>
      <c r="D913" s="31"/>
    </row>
    <row r="914" spans="2:4" ht="15.75" customHeight="1" x14ac:dyDescent="0.25">
      <c r="B914" s="5"/>
      <c r="D914" s="31"/>
    </row>
    <row r="915" spans="2:4" ht="15.75" customHeight="1" x14ac:dyDescent="0.25">
      <c r="B915" s="5"/>
      <c r="D915" s="31"/>
    </row>
    <row r="916" spans="2:4" ht="15.75" customHeight="1" x14ac:dyDescent="0.25">
      <c r="B916" s="5"/>
      <c r="D916" s="31"/>
    </row>
    <row r="917" spans="2:4" ht="15.75" customHeight="1" x14ac:dyDescent="0.25">
      <c r="B917" s="5"/>
      <c r="D917" s="31"/>
    </row>
    <row r="918" spans="2:4" ht="15.75" customHeight="1" x14ac:dyDescent="0.25">
      <c r="B918" s="5"/>
      <c r="D918" s="31"/>
    </row>
    <row r="919" spans="2:4" ht="15.75" customHeight="1" x14ac:dyDescent="0.25">
      <c r="B919" s="5"/>
      <c r="D919" s="31"/>
    </row>
    <row r="920" spans="2:4" ht="15.75" customHeight="1" x14ac:dyDescent="0.25">
      <c r="B920" s="5"/>
      <c r="D920" s="31"/>
    </row>
    <row r="921" spans="2:4" ht="15.75" customHeight="1" x14ac:dyDescent="0.25">
      <c r="B921" s="5"/>
      <c r="D921" s="31"/>
    </row>
    <row r="922" spans="2:4" ht="15.75" customHeight="1" x14ac:dyDescent="0.25">
      <c r="B922" s="5"/>
      <c r="D922" s="31"/>
    </row>
    <row r="923" spans="2:4" ht="15.75" customHeight="1" x14ac:dyDescent="0.25">
      <c r="B923" s="5"/>
      <c r="D923" s="31"/>
    </row>
    <row r="924" spans="2:4" ht="15.75" customHeight="1" x14ac:dyDescent="0.25">
      <c r="B924" s="5"/>
      <c r="D924" s="31"/>
    </row>
    <row r="925" spans="2:4" ht="15.75" customHeight="1" x14ac:dyDescent="0.25">
      <c r="B925" s="5"/>
      <c r="D925" s="31"/>
    </row>
    <row r="926" spans="2:4" ht="15.75" customHeight="1" x14ac:dyDescent="0.25">
      <c r="B926" s="5"/>
      <c r="D926" s="31"/>
    </row>
    <row r="927" spans="2:4" ht="15.75" customHeight="1" x14ac:dyDescent="0.25">
      <c r="B927" s="5"/>
      <c r="D927" s="31"/>
    </row>
    <row r="928" spans="2:4" ht="15.75" customHeight="1" x14ac:dyDescent="0.25">
      <c r="B928" s="5"/>
      <c r="D928" s="31"/>
    </row>
    <row r="929" spans="2:4" ht="15.75" customHeight="1" x14ac:dyDescent="0.25">
      <c r="B929" s="5"/>
      <c r="D929" s="31"/>
    </row>
    <row r="930" spans="2:4" ht="15.75" customHeight="1" x14ac:dyDescent="0.25">
      <c r="B930" s="5"/>
      <c r="D930" s="31"/>
    </row>
    <row r="931" spans="2:4" ht="15.75" customHeight="1" x14ac:dyDescent="0.25">
      <c r="B931" s="5"/>
      <c r="D931" s="31"/>
    </row>
    <row r="932" spans="2:4" ht="15.75" customHeight="1" x14ac:dyDescent="0.25">
      <c r="B932" s="5"/>
      <c r="D932" s="31"/>
    </row>
    <row r="933" spans="2:4" ht="15.75" customHeight="1" x14ac:dyDescent="0.25">
      <c r="B933" s="5"/>
      <c r="D933" s="31"/>
    </row>
    <row r="934" spans="2:4" ht="15.75" customHeight="1" x14ac:dyDescent="0.25">
      <c r="B934" s="5"/>
      <c r="D934" s="31"/>
    </row>
    <row r="935" spans="2:4" ht="15.75" customHeight="1" x14ac:dyDescent="0.25">
      <c r="B935" s="5"/>
      <c r="D935" s="31"/>
    </row>
    <row r="936" spans="2:4" ht="15.75" customHeight="1" x14ac:dyDescent="0.25">
      <c r="B936" s="5"/>
      <c r="D936" s="31"/>
    </row>
    <row r="937" spans="2:4" ht="15.75" customHeight="1" x14ac:dyDescent="0.25">
      <c r="B937" s="5"/>
      <c r="D937" s="31"/>
    </row>
    <row r="938" spans="2:4" ht="15.75" customHeight="1" x14ac:dyDescent="0.25">
      <c r="B938" s="5"/>
      <c r="D938" s="31"/>
    </row>
    <row r="939" spans="2:4" ht="15.75" customHeight="1" x14ac:dyDescent="0.25">
      <c r="B939" s="5"/>
      <c r="D939" s="31"/>
    </row>
    <row r="940" spans="2:4" ht="15.75" customHeight="1" x14ac:dyDescent="0.25">
      <c r="B940" s="5"/>
      <c r="D940" s="31"/>
    </row>
    <row r="941" spans="2:4" ht="15.75" customHeight="1" x14ac:dyDescent="0.25">
      <c r="B941" s="5"/>
      <c r="D941" s="31"/>
    </row>
    <row r="942" spans="2:4" ht="15.75" customHeight="1" x14ac:dyDescent="0.25">
      <c r="B942" s="5"/>
      <c r="D942" s="31"/>
    </row>
    <row r="943" spans="2:4" ht="15.75" customHeight="1" x14ac:dyDescent="0.25">
      <c r="B943" s="5"/>
      <c r="D943" s="31"/>
    </row>
    <row r="944" spans="2:4" ht="15.75" customHeight="1" x14ac:dyDescent="0.25">
      <c r="B944" s="5"/>
      <c r="D944" s="31"/>
    </row>
    <row r="945" spans="2:4" ht="15.75" customHeight="1" x14ac:dyDescent="0.25">
      <c r="B945" s="5"/>
      <c r="D945" s="31"/>
    </row>
    <row r="946" spans="2:4" ht="15.75" customHeight="1" x14ac:dyDescent="0.25">
      <c r="B946" s="5"/>
      <c r="D946" s="31"/>
    </row>
    <row r="947" spans="2:4" ht="15.75" customHeight="1" x14ac:dyDescent="0.25">
      <c r="B947" s="5"/>
      <c r="D947" s="31"/>
    </row>
    <row r="948" spans="2:4" ht="15.75" customHeight="1" x14ac:dyDescent="0.25">
      <c r="B948" s="5"/>
      <c r="D948" s="31"/>
    </row>
    <row r="949" spans="2:4" ht="15.75" customHeight="1" x14ac:dyDescent="0.25">
      <c r="B949" s="5"/>
      <c r="D949" s="31"/>
    </row>
    <row r="950" spans="2:4" ht="15.75" customHeight="1" x14ac:dyDescent="0.25">
      <c r="B950" s="5"/>
      <c r="D950" s="31"/>
    </row>
    <row r="951" spans="2:4" ht="15.75" customHeight="1" x14ac:dyDescent="0.25">
      <c r="B951" s="5"/>
      <c r="D951" s="31"/>
    </row>
    <row r="952" spans="2:4" ht="15.75" customHeight="1" x14ac:dyDescent="0.25">
      <c r="B952" s="5"/>
      <c r="D952" s="31"/>
    </row>
    <row r="953" spans="2:4" ht="15.75" customHeight="1" x14ac:dyDescent="0.25">
      <c r="B953" s="5"/>
      <c r="D953" s="31"/>
    </row>
    <row r="954" spans="2:4" ht="15.75" customHeight="1" x14ac:dyDescent="0.25">
      <c r="B954" s="5"/>
      <c r="D954" s="31"/>
    </row>
    <row r="955" spans="2:4" ht="15.75" customHeight="1" x14ac:dyDescent="0.25">
      <c r="B955" s="5"/>
      <c r="D955" s="31"/>
    </row>
    <row r="956" spans="2:4" ht="15.75" customHeight="1" x14ac:dyDescent="0.25">
      <c r="B956" s="5"/>
      <c r="D956" s="31"/>
    </row>
    <row r="957" spans="2:4" ht="15.75" customHeight="1" x14ac:dyDescent="0.25">
      <c r="B957" s="5"/>
      <c r="D957" s="31"/>
    </row>
    <row r="958" spans="2:4" ht="15.75" customHeight="1" x14ac:dyDescent="0.25">
      <c r="B958" s="5"/>
      <c r="D958" s="31"/>
    </row>
    <row r="959" spans="2:4" ht="15.75" customHeight="1" x14ac:dyDescent="0.25">
      <c r="B959" s="5"/>
      <c r="D959" s="31"/>
    </row>
    <row r="960" spans="2:4" ht="15.75" customHeight="1" x14ac:dyDescent="0.25">
      <c r="B960" s="5"/>
      <c r="D960" s="31"/>
    </row>
    <row r="961" spans="2:4" ht="15.75" customHeight="1" x14ac:dyDescent="0.25">
      <c r="B961" s="5"/>
      <c r="D961" s="31"/>
    </row>
    <row r="962" spans="2:4" ht="15.75" customHeight="1" x14ac:dyDescent="0.25">
      <c r="B962" s="5"/>
      <c r="D962" s="31"/>
    </row>
    <row r="963" spans="2:4" ht="15.75" customHeight="1" x14ac:dyDescent="0.25">
      <c r="B963" s="5"/>
      <c r="D963" s="31"/>
    </row>
    <row r="964" spans="2:4" ht="15.75" customHeight="1" x14ac:dyDescent="0.25">
      <c r="B964" s="5"/>
      <c r="D964" s="31"/>
    </row>
    <row r="965" spans="2:4" ht="15.75" customHeight="1" x14ac:dyDescent="0.25">
      <c r="B965" s="5"/>
      <c r="D965" s="31"/>
    </row>
    <row r="966" spans="2:4" ht="15.75" customHeight="1" x14ac:dyDescent="0.25">
      <c r="B966" s="5"/>
      <c r="D966" s="31"/>
    </row>
    <row r="967" spans="2:4" ht="15.75" customHeight="1" x14ac:dyDescent="0.25">
      <c r="B967" s="5"/>
      <c r="D967" s="31"/>
    </row>
    <row r="968" spans="2:4" ht="15.75" customHeight="1" x14ac:dyDescent="0.25">
      <c r="B968" s="5"/>
      <c r="D968" s="31"/>
    </row>
    <row r="969" spans="2:4" ht="15.75" customHeight="1" x14ac:dyDescent="0.25">
      <c r="B969" s="5"/>
      <c r="D969" s="31"/>
    </row>
    <row r="970" spans="2:4" ht="15.75" customHeight="1" x14ac:dyDescent="0.25">
      <c r="B970" s="5"/>
      <c r="D970" s="31"/>
    </row>
    <row r="971" spans="2:4" ht="15.75" customHeight="1" x14ac:dyDescent="0.25">
      <c r="B971" s="5"/>
      <c r="D971" s="31"/>
    </row>
    <row r="972" spans="2:4" ht="15.75" customHeight="1" x14ac:dyDescent="0.25">
      <c r="B972" s="5"/>
      <c r="D972" s="31"/>
    </row>
    <row r="973" spans="2:4" ht="15.75" customHeight="1" x14ac:dyDescent="0.25">
      <c r="B973" s="5"/>
      <c r="D973" s="31"/>
    </row>
    <row r="974" spans="2:4" ht="15.75" customHeight="1" x14ac:dyDescent="0.25">
      <c r="B974" s="5"/>
      <c r="D974" s="31"/>
    </row>
    <row r="975" spans="2:4" ht="15.75" customHeight="1" x14ac:dyDescent="0.25">
      <c r="B975" s="5"/>
      <c r="D975" s="31"/>
    </row>
    <row r="976" spans="2:4" ht="15.75" customHeight="1" x14ac:dyDescent="0.25">
      <c r="B976" s="5"/>
      <c r="D976" s="31"/>
    </row>
    <row r="977" spans="2:4" ht="15.75" customHeight="1" x14ac:dyDescent="0.25">
      <c r="B977" s="5"/>
      <c r="D977" s="31"/>
    </row>
    <row r="978" spans="2:4" ht="15.75" customHeight="1" x14ac:dyDescent="0.25">
      <c r="B978" s="5"/>
      <c r="D978" s="31"/>
    </row>
    <row r="979" spans="2:4" ht="15.75" customHeight="1" x14ac:dyDescent="0.25">
      <c r="B979" s="5"/>
      <c r="D979" s="31"/>
    </row>
    <row r="980" spans="2:4" ht="15.75" customHeight="1" x14ac:dyDescent="0.25">
      <c r="B980" s="5"/>
      <c r="D980" s="31"/>
    </row>
    <row r="981" spans="2:4" ht="15.75" customHeight="1" x14ac:dyDescent="0.25">
      <c r="B981" s="5"/>
      <c r="D981" s="31"/>
    </row>
    <row r="982" spans="2:4" ht="15.75" customHeight="1" x14ac:dyDescent="0.25">
      <c r="B982" s="5"/>
      <c r="D982" s="31"/>
    </row>
    <row r="983" spans="2:4" ht="15.75" customHeight="1" x14ac:dyDescent="0.25">
      <c r="B983" s="5"/>
      <c r="D983" s="31"/>
    </row>
    <row r="984" spans="2:4" ht="15.75" customHeight="1" x14ac:dyDescent="0.25">
      <c r="B984" s="5"/>
      <c r="D984" s="31"/>
    </row>
    <row r="985" spans="2:4" ht="15.75" customHeight="1" x14ac:dyDescent="0.25">
      <c r="B985" s="5"/>
      <c r="D985" s="31"/>
    </row>
    <row r="986" spans="2:4" ht="15.75" customHeight="1" x14ac:dyDescent="0.25">
      <c r="B986" s="5"/>
      <c r="D986" s="31"/>
    </row>
    <row r="987" spans="2:4" ht="15.75" customHeight="1" x14ac:dyDescent="0.25">
      <c r="B987" s="5"/>
      <c r="D987" s="31"/>
    </row>
    <row r="988" spans="2:4" ht="15.75" customHeight="1" x14ac:dyDescent="0.25">
      <c r="B988" s="5"/>
      <c r="D988" s="31"/>
    </row>
    <row r="989" spans="2:4" ht="15.75" customHeight="1" x14ac:dyDescent="0.25">
      <c r="B989" s="5"/>
      <c r="D989" s="31"/>
    </row>
    <row r="990" spans="2:4" ht="15.75" customHeight="1" x14ac:dyDescent="0.25">
      <c r="B990" s="5"/>
      <c r="D990" s="31"/>
    </row>
    <row r="991" spans="2:4" ht="15.75" customHeight="1" x14ac:dyDescent="0.25">
      <c r="B991" s="5"/>
      <c r="D991" s="31"/>
    </row>
    <row r="992" spans="2:4" ht="15.75" customHeight="1" x14ac:dyDescent="0.25">
      <c r="B992" s="5"/>
      <c r="D992" s="31"/>
    </row>
    <row r="993" spans="2:4" ht="15.75" customHeight="1" x14ac:dyDescent="0.25">
      <c r="B993" s="5"/>
      <c r="D993" s="31"/>
    </row>
    <row r="994" spans="2:4" ht="15.75" customHeight="1" x14ac:dyDescent="0.25">
      <c r="B994" s="5"/>
      <c r="D994" s="31"/>
    </row>
    <row r="995" spans="2:4" ht="15.75" customHeight="1" x14ac:dyDescent="0.25">
      <c r="B995" s="5"/>
      <c r="D995" s="31"/>
    </row>
    <row r="996" spans="2:4" ht="15.75" customHeight="1" x14ac:dyDescent="0.25">
      <c r="B996" s="5"/>
      <c r="D996" s="31"/>
    </row>
    <row r="997" spans="2:4" ht="15.75" customHeight="1" x14ac:dyDescent="0.25">
      <c r="B997" s="5"/>
      <c r="D997" s="31"/>
    </row>
    <row r="998" spans="2:4" ht="15.75" customHeight="1" x14ac:dyDescent="0.25">
      <c r="B998" s="5"/>
      <c r="D998" s="31"/>
    </row>
    <row r="999" spans="2:4" ht="15.75" customHeight="1" x14ac:dyDescent="0.25">
      <c r="B999" s="5"/>
      <c r="D999" s="31"/>
    </row>
    <row r="1000" spans="2:4" ht="15.75" customHeight="1" x14ac:dyDescent="0.25">
      <c r="B1000" s="5"/>
      <c r="D1000" s="31"/>
    </row>
    <row r="1001" spans="2:4" ht="15.75" customHeight="1" x14ac:dyDescent="0.25">
      <c r="B1001" s="5"/>
      <c r="D1001" s="31"/>
    </row>
    <row r="1002" spans="2:4" ht="15.75" customHeight="1" x14ac:dyDescent="0.25">
      <c r="B1002" s="5"/>
      <c r="D1002" s="31"/>
    </row>
    <row r="1003" spans="2:4" ht="15.75" customHeight="1" x14ac:dyDescent="0.25">
      <c r="B1003" s="5"/>
      <c r="D1003" s="31"/>
    </row>
    <row r="1004" spans="2:4" ht="15.75" customHeight="1" x14ac:dyDescent="0.25">
      <c r="B1004" s="5"/>
      <c r="D1004" s="31"/>
    </row>
    <row r="1005" spans="2:4" ht="15.75" customHeight="1" x14ac:dyDescent="0.25">
      <c r="B1005" s="5"/>
      <c r="D1005" s="31"/>
    </row>
    <row r="1006" spans="2:4" ht="15.75" customHeight="1" x14ac:dyDescent="0.25">
      <c r="B1006" s="5"/>
      <c r="D1006" s="31"/>
    </row>
    <row r="1007" spans="2:4" ht="15.75" customHeight="1" x14ac:dyDescent="0.25">
      <c r="B1007" s="5"/>
      <c r="D1007" s="31"/>
    </row>
    <row r="1008" spans="2:4" ht="15.75" customHeight="1" x14ac:dyDescent="0.25">
      <c r="B1008" s="5"/>
      <c r="D1008" s="31"/>
    </row>
    <row r="1009" spans="2:4" ht="15.75" customHeight="1" x14ac:dyDescent="0.25">
      <c r="B1009" s="5"/>
      <c r="D1009" s="31"/>
    </row>
    <row r="1010" spans="2:4" ht="15.75" customHeight="1" x14ac:dyDescent="0.25">
      <c r="B1010" s="5"/>
      <c r="D1010" s="31"/>
    </row>
    <row r="1011" spans="2:4" ht="15.75" customHeight="1" x14ac:dyDescent="0.25">
      <c r="B1011" s="5"/>
      <c r="D1011" s="31"/>
    </row>
    <row r="1012" spans="2:4" ht="15.75" customHeight="1" x14ac:dyDescent="0.25">
      <c r="B1012" s="5"/>
      <c r="D1012" s="31"/>
    </row>
    <row r="1013" spans="2:4" ht="15.75" customHeight="1" x14ac:dyDescent="0.25">
      <c r="B1013" s="5"/>
      <c r="D1013" s="31"/>
    </row>
  </sheetData>
  <mergeCells count="5">
    <mergeCell ref="C4:L4"/>
    <mergeCell ref="C25:L25"/>
    <mergeCell ref="C46:L46"/>
    <mergeCell ref="C67:L67"/>
    <mergeCell ref="C88:L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Quist</dc:creator>
  <cp:lastModifiedBy>Carl Quist</cp:lastModifiedBy>
  <dcterms:created xsi:type="dcterms:W3CDTF">2026-05-25T11:45:41Z</dcterms:created>
  <dcterms:modified xsi:type="dcterms:W3CDTF">2026-05-25T15:41:45Z</dcterms:modified>
</cp:coreProperties>
</file>